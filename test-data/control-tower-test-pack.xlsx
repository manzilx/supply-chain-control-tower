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10.xml" ContentType="application/vnd.openxmlformats-officedocument.spreadsheetml.worksheet+xml"/>
  <Override PartName="/xl/worksheets/sheet8.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6.xml" ContentType="application/vnd.openxmlformats-officedocument.spreadsheetml.worksheet+xml"/>
  <Override PartName="/xl/worksheets/sheet1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Personas" sheetId="2" state="visible" r:id="rId4"/>
    <sheet name="Projects" sheetId="3" state="visible" r:id="rId5"/>
    <sheet name="BOM-Arcforge" sheetId="4" state="visible" r:id="rId6"/>
    <sheet name="BOM-Helios" sheetId="5" state="visible" r:id="rId7"/>
    <sheet name="BOM-Northwind" sheetId="6" state="visible" r:id="rId8"/>
    <sheet name="Suppliers" sheetId="7" state="visible" r:id="rId9"/>
    <sheet name="Test Scenarios" sheetId="8" state="visible" r:id="rId10"/>
    <sheet name="Coverage Matrix" sheetId="9" state="visible" r:id="rId11"/>
    <sheet name="Edge + Status CSVs" sheetId="10" state="visible" r:id="rId12"/>
    <sheet name="API Reference" sheetId="11" state="visible" r:id="rId1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<sst xmlns="http://schemas.openxmlformats.org/spreadsheetml/2006/main" count="2177" uniqueCount="986">
  <si>
    <t xml:space="preserve">SUPPLY CHAIN CONTROL TOWER</t>
  </si>
  <si>
    <t xml:space="preserve">Test Data Pack</t>
  </si>
  <si>
    <t xml:space="preserve">Purpose</t>
  </si>
  <si>
    <t xml:space="preserve">End-to-end test data + scenarios for every feature in the Control Tower. Use the persona table to log in, the BOM CSVs to populate projects, the suppliers list as reference, and the scenarios sheet as a click-by-click QA script.</t>
  </si>
  <si>
    <t xml:space="preserve">Live environments</t>
  </si>
  <si>
    <t xml:space="preserve">Local: https://localhost/  ·  Fly: https://scm-towerx.fly.dev/</t>
  </si>
  <si>
    <t xml:space="preserve">How to use</t>
  </si>
  <si>
    <t xml:space="preserve">1. Open the 'Personas' sheet — pick any user_id to sign in.
2. Open the 'Test Scenarios' sheet — work through P1 first.
3. To populate a project's BOM, use the matching 'bom-&lt;tenant&gt;-&lt;project&gt;.csv' file via the project's BOM tab → CSV upload.
4. To exercise edge cases + watch completion respond, see the 'Edge / Status CSVs' sheet (bom-edge-* and bom-status-mix-*).
5. The 'Suppliers' and 'BOM Library' sheets are reference data for manual entry / API calls.
6. The 'API Reference' sheet documents every endpoint to hit directly with curl / Postman.</t>
  </si>
  <si>
    <t xml:space="preserve">Tenants</t>
  </si>
  <si>
    <t xml:space="preserve">arcforge (Power Systems EPC)  ·  helios (Offshore Engineering)  ·  northwind (Heavy Engineering). All data is tenant-scoped — cross-tenant reads return 404.</t>
  </si>
  <si>
    <t xml:space="preserve">Auth</t>
  </si>
  <si>
    <t xml:space="preserve">POST /api/auth/login with { "user_id": "&lt;persona&gt;" } returns a JWT. Send as Authorization: Bearer &lt;token&gt;. 8h TTL. JWT secret is set via the JWT_SECRET env var in prod.</t>
  </si>
  <si>
    <t xml:space="preserve">AUTH</t>
  </si>
  <si>
    <t xml:space="preserve">Personas — pick any user_id to sign in</t>
  </si>
  <si>
    <t xml:space="preserve">user_id</t>
  </si>
  <si>
    <t xml:space="preserve">Display name</t>
  </si>
  <si>
    <t xml:space="preserve">Email</t>
  </si>
  <si>
    <t xml:space="preserve">Tenant</t>
  </si>
  <si>
    <t xml:space="preserve">Role</t>
  </si>
  <si>
    <t xml:space="preserve">What this persona can do</t>
  </si>
  <si>
    <t xml:space="preserve">arcforge-admin-01</t>
  </si>
  <si>
    <t xml:space="preserve">Admin</t>
  </si>
  <si>
    <t xml:space="preserve">admin@arcforge.com</t>
  </si>
  <si>
    <t xml:space="preserve">Arcforge Engineering</t>
  </si>
  <si>
    <t xml:space="preserve">admin</t>
  </si>
  <si>
    <t xml:space="preserve">All read + write across modules + tenant switch (admin only).</t>
  </si>
  <si>
    <t xml:space="preserve">arcforge-head-01</t>
  </si>
  <si>
    <t xml:space="preserve">Procurement Head</t>
  </si>
  <si>
    <t xml:space="preserve">head@arcforge.com</t>
  </si>
  <si>
    <t xml:space="preserve">procurement_head</t>
  </si>
  <si>
    <t xml:space="preserve">Read all + manage PR/RFQ/Award/PO + decide approvals.</t>
  </si>
  <si>
    <t xml:space="preserve">arcforge-buyer-01</t>
  </si>
  <si>
    <t xml:space="preserve">Buyer</t>
  </si>
  <si>
    <t xml:space="preserve">buyer@arcforge.com</t>
  </si>
  <si>
    <t xml:space="preserve">buyer</t>
  </si>
  <si>
    <t xml:space="preserve">Read all + create PR, RFQ, Quote. Cannot award POs over threshold.</t>
  </si>
  <si>
    <t xml:space="preserve">arcforge-expeditor-01</t>
  </si>
  <si>
    <t xml:space="preserve">Lead Expeditor</t>
  </si>
  <si>
    <t xml:space="preserve">expeditor@arcforge.com</t>
  </si>
  <si>
    <t xml:space="preserve">expeditor</t>
  </si>
  <si>
    <t xml:space="preserve">Read all + create follow-up emails + shipment events.</t>
  </si>
  <si>
    <t xml:space="preserve">arcforge-viewer-01</t>
  </si>
  <si>
    <t xml:space="preserve">Project Controls Viewer</t>
  </si>
  <si>
    <t xml:space="preserve">viewer@arcforge.com</t>
  </si>
  <si>
    <t xml:space="preserve">viewer</t>
  </si>
  <si>
    <t xml:space="preserve">Read-only access to every page.</t>
  </si>
  <si>
    <t xml:space="preserve">helios-admin-01</t>
  </si>
  <si>
    <t xml:space="preserve">admin@helios-offshore.com</t>
  </si>
  <si>
    <t xml:space="preserve">Helios Offshore</t>
  </si>
  <si>
    <t xml:space="preserve">helios-head-01</t>
  </si>
  <si>
    <t xml:space="preserve">head@helios-offshore.com</t>
  </si>
  <si>
    <t xml:space="preserve">helios-buyer-01</t>
  </si>
  <si>
    <t xml:space="preserve">buyer@helios-offshore.com</t>
  </si>
  <si>
    <t xml:space="preserve">helios-expeditor-01</t>
  </si>
  <si>
    <t xml:space="preserve">expeditor@helios-offshore.com</t>
  </si>
  <si>
    <t xml:space="preserve">helios-viewer-01</t>
  </si>
  <si>
    <t xml:space="preserve">viewer@helios-offshore.com</t>
  </si>
  <si>
    <t xml:space="preserve">northwind-admin-01</t>
  </si>
  <si>
    <t xml:space="preserve">admin@northwind.co</t>
  </si>
  <si>
    <t xml:space="preserve">Northwind Heavy Engineering</t>
  </si>
  <si>
    <t xml:space="preserve">northwind-head-01</t>
  </si>
  <si>
    <t xml:space="preserve">head@northwind.co</t>
  </si>
  <si>
    <t xml:space="preserve">northwind-buyer-01</t>
  </si>
  <si>
    <t xml:space="preserve">buyer@northwind.co</t>
  </si>
  <si>
    <t xml:space="preserve">northwind-expeditor-01</t>
  </si>
  <si>
    <t xml:space="preserve">expeditor@northwind.co</t>
  </si>
  <si>
    <t xml:space="preserve">northwind-viewer-01</t>
  </si>
  <si>
    <t xml:space="preserve">viewer@northwind.co</t>
  </si>
  <si>
    <t xml:space="preserve">PORTFOLIO</t>
  </si>
  <si>
    <t xml:space="preserve">Projects — 4 per tenant, 1 in-execution each</t>
  </si>
  <si>
    <t xml:space="preserve">project_id</t>
  </si>
  <si>
    <t xml:space="preserve">Name</t>
  </si>
  <si>
    <t xml:space="preserve">Client</t>
  </si>
  <si>
    <t xml:space="preserve">Site</t>
  </si>
  <si>
    <t xml:space="preserve">Sector</t>
  </si>
  <si>
    <t xml:space="preserve">Expected completion (today)</t>
  </si>
  <si>
    <t xml:space="preserve">Seeded BOM lines</t>
  </si>
  <si>
    <t xml:space="preserve">arcforge</t>
  </si>
  <si>
    <t xml:space="preserve">PRJ-RB-660</t>
  </si>
  <si>
    <t xml:space="preserve">Riverbank 2x660 MW Power Plant</t>
  </si>
  <si>
    <t xml:space="preserve">Arcforge Power</t>
  </si>
  <si>
    <t xml:space="preserve">Riverbank, Gujarat</t>
  </si>
  <si>
    <t xml:space="preserve">Power EPC</t>
  </si>
  <si>
    <t xml:space="preserve">0%</t>
  </si>
  <si>
    <t xml:space="preserve">PRJ-AF-CCGT</t>
  </si>
  <si>
    <t xml:space="preserve">Tanjore Combined-Cycle Gas Plant 750 MW</t>
  </si>
  <si>
    <t xml:space="preserve">Tanjore, Tamil Nadu</t>
  </si>
  <si>
    <t xml:space="preserve">PRJ-AF-SUB</t>
  </si>
  <si>
    <t xml:space="preserve">Sundarpur 765 kV Substation Upgrade</t>
  </si>
  <si>
    <t xml:space="preserve">Arcforge Grid</t>
  </si>
  <si>
    <t xml:space="preserve">Sundarpur, Madhya Pradesh</t>
  </si>
  <si>
    <t xml:space="preserve">Transmission EPC</t>
  </si>
  <si>
    <t xml:space="preserve">PRJ-AF-MERIDIAN</t>
  </si>
  <si>
    <t xml:space="preserve">Meridian 2x350 MW CCGT — Unit 1 Execution</t>
  </si>
  <si>
    <t xml:space="preserve">Meridian, Andhra Pradesh</t>
  </si>
  <si>
    <t xml:space="preserve">~56% (in-flight)</t>
  </si>
  <si>
    <t xml:space="preserve">helios</t>
  </si>
  <si>
    <t xml:space="preserve">PRJ-NS-OSS</t>
  </si>
  <si>
    <t xml:space="preserve">North Sea Offshore Substation</t>
  </si>
  <si>
    <t xml:space="preserve">Helios Offshore Operations</t>
  </si>
  <si>
    <t xml:space="preserve">Aberdeen, UK</t>
  </si>
  <si>
    <t xml:space="preserve">Offshore Engineering</t>
  </si>
  <si>
    <t xml:space="preserve">PRJ-HE-WIND</t>
  </si>
  <si>
    <t xml:space="preserve">Dogger Bank Offshore Wind 480 MW</t>
  </si>
  <si>
    <t xml:space="preserve">Helios Renewables</t>
  </si>
  <si>
    <t xml:space="preserve">Dogger Bank, North Sea</t>
  </si>
  <si>
    <t xml:space="preserve">Offshore Wind EPC</t>
  </si>
  <si>
    <t xml:space="preserve">PRJ-HE-FPSO</t>
  </si>
  <si>
    <t xml:space="preserve">Hawthorn FPSO Topsides</t>
  </si>
  <si>
    <t xml:space="preserve">Helios Upstream</t>
  </si>
  <si>
    <t xml:space="preserve">West of Shetland</t>
  </si>
  <si>
    <t xml:space="preserve">Offshore Oil &amp; Gas EPC</t>
  </si>
  <si>
    <t xml:space="preserve">PRJ-HE-VALHALL</t>
  </si>
  <si>
    <t xml:space="preserve">Valhall Bravo Platform Tie-In</t>
  </si>
  <si>
    <t xml:space="preserve">Valhall Field, North Sea</t>
  </si>
  <si>
    <t xml:space="preserve">northwind</t>
  </si>
  <si>
    <t xml:space="preserve">HYD-MAHADEV-220</t>
  </si>
  <si>
    <t xml:space="preserve">Mahadev Hydro 220 MW (2x110)</t>
  </si>
  <si>
    <t xml:space="preserve">Northern Hills Power Corporation</t>
  </si>
  <si>
    <t xml:space="preserve">Sutlej Basin, Himachal Pradesh</t>
  </si>
  <si>
    <t xml:space="preserve">Hydropower EPC</t>
  </si>
  <si>
    <t xml:space="preserve">~17%</t>
  </si>
  <si>
    <t xml:space="preserve">PRJ-NW-STEEL</t>
  </si>
  <si>
    <t xml:space="preserve">Polaris Steel Rolling Mill Modernization</t>
  </si>
  <si>
    <t xml:space="preserve">Polaris Steel</t>
  </si>
  <si>
    <t xml:space="preserve">Jamshedpur, Jharkhand</t>
  </si>
  <si>
    <t xml:space="preserve">Heavy Industry EPC</t>
  </si>
  <si>
    <t xml:space="preserve">PRJ-NW-CEMENT</t>
  </si>
  <si>
    <t xml:space="preserve">Granite Ridge Cement Line 2</t>
  </si>
  <si>
    <t xml:space="preserve">Granite Ridge Cement</t>
  </si>
  <si>
    <t xml:space="preserve">Chandrapur, Maharashtra</t>
  </si>
  <si>
    <t xml:space="preserve">PRJ-NW-KAVI</t>
  </si>
  <si>
    <t xml:space="preserve">Kavi Hydro Unit 3 Major Overhaul</t>
  </si>
  <si>
    <t xml:space="preserve">Kavi, Himachal Pradesh</t>
  </si>
  <si>
    <t xml:space="preserve">~53% (in-flight)</t>
  </si>
  <si>
    <t xml:space="preserve">BOM</t>
  </si>
  <si>
    <t xml:space="preserve">BOM-Arcforge — uploadable to PRJ-RB-660</t>
  </si>
  <si>
    <t xml:space="preserve">code</t>
  </si>
  <si>
    <t xml:space="preserve">description</t>
  </si>
  <si>
    <t xml:space="preserve">category</t>
  </si>
  <si>
    <t xml:space="preserve">quantity</t>
  </si>
  <si>
    <t xml:space="preserve">uom</t>
  </si>
  <si>
    <t xml:space="preserve">unit_cost_usd</t>
  </si>
  <si>
    <t xml:space="preserve">supplier_name</t>
  </si>
  <si>
    <t xml:space="preserve">spec_doc_id</t>
  </si>
  <si>
    <t xml:space="preserve">drawing_id</t>
  </si>
  <si>
    <t xml:space="preserve">long_lead_days</t>
  </si>
  <si>
    <t xml:space="preserve">planned_need_date</t>
  </si>
  <si>
    <t xml:space="preserve">milestone_code</t>
  </si>
  <si>
    <t xml:space="preserve">status</t>
  </si>
  <si>
    <t xml:space="preserve">BFP-660-B</t>
  </si>
  <si>
    <t xml:space="preserve">Boiler feed pump set B</t>
  </si>
  <si>
    <t xml:space="preserve">Rotating equipment</t>
  </si>
  <si>
    <t xml:space="preserve">EA</t>
  </si>
  <si>
    <t xml:space="preserve">Helios Cast &amp; Forge</t>
  </si>
  <si>
    <t xml:space="preserve">SPEC-RB-001</t>
  </si>
  <si>
    <t xml:space="preserve">DRG-RB-001</t>
  </si>
  <si>
    <t xml:space="preserve">2026-11-27</t>
  </si>
  <si>
    <t xml:space="preserve">M3</t>
  </si>
  <si>
    <t xml:space="preserve">planned</t>
  </si>
  <si>
    <t xml:space="preserve">DEAERATOR-660</t>
  </si>
  <si>
    <t xml:space="preserve">Deaerator + storage tank</t>
  </si>
  <si>
    <t xml:space="preserve">Process</t>
  </si>
  <si>
    <t xml:space="preserve">Kerala Forge Works</t>
  </si>
  <si>
    <t xml:space="preserve">2026-10-28</t>
  </si>
  <si>
    <t xml:space="preserve">CONDENSER-AC</t>
  </si>
  <si>
    <t xml:space="preserve">Air-cooled condenser bank</t>
  </si>
  <si>
    <t xml:space="preserve">2026-12-17</t>
  </si>
  <si>
    <t xml:space="preserve">M4</t>
  </si>
  <si>
    <t xml:space="preserve">spec_missing</t>
  </si>
  <si>
    <t xml:space="preserve">HRSG-MODULE</t>
  </si>
  <si>
    <t xml:space="preserve">HRSG pressure module</t>
  </si>
  <si>
    <t xml:space="preserve">Heat recovery</t>
  </si>
  <si>
    <t xml:space="preserve">2026-12-27</t>
  </si>
  <si>
    <t xml:space="preserve">ECONOMIZER-COIL</t>
  </si>
  <si>
    <t xml:space="preserve">Economizer coil bundle</t>
  </si>
  <si>
    <t xml:space="preserve">DESH-PIPING-CR</t>
  </si>
  <si>
    <t xml:space="preserve">Desuperheater piping chrome-moly</t>
  </si>
  <si>
    <t xml:space="preserve">Piping</t>
  </si>
  <si>
    <t xml:space="preserve">M</t>
  </si>
  <si>
    <t xml:space="preserve">Copperline Metals</t>
  </si>
  <si>
    <t xml:space="preserve">2026-09-28</t>
  </si>
  <si>
    <t xml:space="preserve">VALVE-24-A105</t>
  </si>
  <si>
    <t xml:space="preserve">24-inch forged gate valve</t>
  </si>
  <si>
    <t xml:space="preserve">Forged valves</t>
  </si>
  <si>
    <t xml:space="preserve">SPEC-RB-002</t>
  </si>
  <si>
    <t xml:space="preserve">2026-09-08</t>
  </si>
  <si>
    <t xml:space="preserve">RELIEF-VALVE</t>
  </si>
  <si>
    <t xml:space="preserve">Steam relief valve assembly</t>
  </si>
  <si>
    <t xml:space="preserve">2026-09-18</t>
  </si>
  <si>
    <t xml:space="preserve">ACTUATOR-PNEU</t>
  </si>
  <si>
    <t xml:space="preserve">Pneumatic valve actuator</t>
  </si>
  <si>
    <t xml:space="preserve">Automation</t>
  </si>
  <si>
    <t xml:space="preserve">Mitsuba Automation</t>
  </si>
  <si>
    <t xml:space="preserve">2026-08-24</t>
  </si>
  <si>
    <t xml:space="preserve">M2</t>
  </si>
  <si>
    <t xml:space="preserve">SOOT-BLOWER</t>
  </si>
  <si>
    <t xml:space="preserve">Wall-tube soot blower set</t>
  </si>
  <si>
    <t xml:space="preserve">HV-SWITCHGEAR-11</t>
  </si>
  <si>
    <t xml:space="preserve">11 kV switchgear panel</t>
  </si>
  <si>
    <t xml:space="preserve">Electrical</t>
  </si>
  <si>
    <t xml:space="preserve">BluePeak Controls</t>
  </si>
  <si>
    <t xml:space="preserve">2026-11-07</t>
  </si>
  <si>
    <t xml:space="preserve">CT-MV-630</t>
  </si>
  <si>
    <t xml:space="preserve">MV current transformer 630A</t>
  </si>
  <si>
    <t xml:space="preserve">MOTOR-IM-3300</t>
  </si>
  <si>
    <t xml:space="preserve">3.3 kV induction motor 4 MW</t>
  </si>
  <si>
    <t xml:space="preserve">PLC-S7-CPU</t>
  </si>
  <si>
    <t xml:space="preserve">PLC CPU module 1500 series</t>
  </si>
  <si>
    <t xml:space="preserve">2026-08-19</t>
  </si>
  <si>
    <t xml:space="preserve">CABLE-MV-XLPE</t>
  </si>
  <si>
    <t xml:space="preserve">33 kV XLPE single-core cable</t>
  </si>
  <si>
    <t xml:space="preserve">Cables</t>
  </si>
  <si>
    <t xml:space="preserve">KM</t>
  </si>
  <si>
    <t xml:space="preserve">CABLE-CONTROL</t>
  </si>
  <si>
    <t xml:space="preserve">Multipair instrumentation cable</t>
  </si>
  <si>
    <t xml:space="preserve">CONDUIT-GAL</t>
  </si>
  <si>
    <t xml:space="preserve">Hot-dip galvanized conduit</t>
  </si>
  <si>
    <t xml:space="preserve">Delhi Metals Co</t>
  </si>
  <si>
    <t xml:space="preserve">2026-07-30</t>
  </si>
  <si>
    <t xml:space="preserve">RACEWAY-CABLE</t>
  </si>
  <si>
    <t xml:space="preserve">Cable raceway galvanized</t>
  </si>
  <si>
    <t xml:space="preserve">INSTR-PRES</t>
  </si>
  <si>
    <t xml:space="preserve">Pressure transmitter HART</t>
  </si>
  <si>
    <t xml:space="preserve">Instrumentation</t>
  </si>
  <si>
    <t xml:space="preserve">INSTR-TEMP-RTD</t>
  </si>
  <si>
    <t xml:space="preserve">RTD temperature sensor</t>
  </si>
  <si>
    <t xml:space="preserve">2026-08-14</t>
  </si>
  <si>
    <t xml:space="preserve">INSTR-FLOW-VTX</t>
  </si>
  <si>
    <t xml:space="preserve">Vortex flow meter</t>
  </si>
  <si>
    <t xml:space="preserve">BALL-VALVE-2</t>
  </si>
  <si>
    <t xml:space="preserve">2"-150 ball valve carbon</t>
  </si>
  <si>
    <t xml:space="preserve">2026-08-29</t>
  </si>
  <si>
    <t xml:space="preserve">PSV-150-HF</t>
  </si>
  <si>
    <t xml:space="preserve">Pilot-operated PSV</t>
  </si>
  <si>
    <t xml:space="preserve">UPS-CRITICAL</t>
  </si>
  <si>
    <t xml:space="preserve">100 kVA critical load UPS</t>
  </si>
  <si>
    <t xml:space="preserve">BATTERY-VRLA</t>
  </si>
  <si>
    <t xml:space="preserve">VRLA battery bank 220V</t>
  </si>
  <si>
    <t xml:space="preserve">FIRE-DELUGE</t>
  </si>
  <si>
    <t xml:space="preserve">Deluge valve fire-water</t>
  </si>
  <si>
    <t xml:space="preserve">Fire</t>
  </si>
  <si>
    <t xml:space="preserve">FIRE-CO2-CYL</t>
  </si>
  <si>
    <t xml:space="preserve">CO2 cylinder bank</t>
  </si>
  <si>
    <t xml:space="preserve">PIPING-CS-A106</t>
  </si>
  <si>
    <t xml:space="preserve">A106-B carbon steel pipe</t>
  </si>
  <si>
    <t xml:space="preserve">PIPING-SS-316</t>
  </si>
  <si>
    <t xml:space="preserve">SS316L stainless pipe</t>
  </si>
  <si>
    <t xml:space="preserve">CRANE-EOT-50</t>
  </si>
  <si>
    <t xml:space="preserve">EOT crane 50T</t>
  </si>
  <si>
    <t xml:space="preserve">Crane / lifting</t>
  </si>
  <si>
    <t xml:space="preserve">HVAC-AHU-30K</t>
  </si>
  <si>
    <t xml:space="preserve">AHU 30,000 CFM</t>
  </si>
  <si>
    <t xml:space="preserve">HVAC</t>
  </si>
  <si>
    <t xml:space="preserve">CW-PUMP-VS</t>
  </si>
  <si>
    <t xml:space="preserve">Cooling water vertical pump</t>
  </si>
  <si>
    <t xml:space="preserve">Cooling</t>
  </si>
  <si>
    <t xml:space="preserve">OIL-LUBE-SKID</t>
  </si>
  <si>
    <t xml:space="preserve">Lube oil skid 200 GPM</t>
  </si>
  <si>
    <t xml:space="preserve">Lubrication</t>
  </si>
  <si>
    <t xml:space="preserve">STRUCT-BEAM</t>
  </si>
  <si>
    <t xml:space="preserve">Structural beam W-section</t>
  </si>
  <si>
    <t xml:space="preserve">Structural</t>
  </si>
  <si>
    <t xml:space="preserve">T</t>
  </si>
  <si>
    <t xml:space="preserve">REBAR-BUNDLE</t>
  </si>
  <si>
    <t xml:space="preserve">Rebar #8 bundle</t>
  </si>
  <si>
    <t xml:space="preserve">Civil</t>
  </si>
  <si>
    <t xml:space="preserve">EARTH-CABLE-CU</t>
  </si>
  <si>
    <t xml:space="preserve">Copper earthing cable</t>
  </si>
  <si>
    <t xml:space="preserve">LIGHTING-FIX-LED</t>
  </si>
  <si>
    <t xml:space="preserve">LED industrial light fixture</t>
  </si>
  <si>
    <t xml:space="preserve">PORTABLE-WELDER</t>
  </si>
  <si>
    <t xml:space="preserve">300A portable welding set</t>
  </si>
  <si>
    <t xml:space="preserve">Tools</t>
  </si>
  <si>
    <t xml:space="preserve">TOTAL LINES</t>
  </si>
  <si>
    <t xml:space="preserve">BOM-Helios — uploadable to PRJ-NS-OSS</t>
  </si>
  <si>
    <t xml:space="preserve">GIS-66-BAY</t>
  </si>
  <si>
    <t xml:space="preserve">GIS 66 kV bay extension</t>
  </si>
  <si>
    <t xml:space="preserve">SPEC-NS-001</t>
  </si>
  <si>
    <t xml:space="preserve">DRG-NS-001</t>
  </si>
  <si>
    <t xml:space="preserve">XFMR-PWR-220</t>
  </si>
  <si>
    <t xml:space="preserve">Power transformer 220 MVA</t>
  </si>
  <si>
    <t xml:space="preserve">REACTOR-SH</t>
  </si>
  <si>
    <t xml:space="preserve">Shunt reactor 200 MVAr</t>
  </si>
  <si>
    <t xml:space="preserve">UMBILICAL-DYN</t>
  </si>
  <si>
    <t xml:space="preserve">Dynamic umbilical cable</t>
  </si>
  <si>
    <t xml:space="preserve">Subsea cables</t>
  </si>
  <si>
    <t xml:space="preserve">NorthCable Subsea</t>
  </si>
  <si>
    <t xml:space="preserve">2027-01-06</t>
  </si>
  <si>
    <t xml:space="preserve">J-TUBE-CRA</t>
  </si>
  <si>
    <t xml:space="preserve">J-tube CRA lined</t>
  </si>
  <si>
    <t xml:space="preserve">Tubing</t>
  </si>
  <si>
    <t xml:space="preserve">2026-10-18</t>
  </si>
  <si>
    <t xml:space="preserve">BUSHING-66KV</t>
  </si>
  <si>
    <t xml:space="preserve">66 kV transformer bushing</t>
  </si>
  <si>
    <t xml:space="preserve">SURGE-ARRESTER</t>
  </si>
  <si>
    <t xml:space="preserve">Surge arrester 66 kV</t>
  </si>
  <si>
    <t xml:space="preserve">CABLE-LV-SHIP</t>
  </si>
  <si>
    <t xml:space="preserve">LV shipboard armoured cable</t>
  </si>
  <si>
    <t xml:space="preserve">DECK-PLATING</t>
  </si>
  <si>
    <t xml:space="preserve">Deck plating EH36 grade</t>
  </si>
  <si>
    <t xml:space="preserve">Offshore structural</t>
  </si>
  <si>
    <t xml:space="preserve">Aberdeen Steel Fab</t>
  </si>
  <si>
    <t xml:space="preserve">PILE-SLEEVE</t>
  </si>
  <si>
    <t xml:space="preserve">Pile sleeve fabrication</t>
  </si>
  <si>
    <t xml:space="preserve">PADEYE-MAIN</t>
  </si>
  <si>
    <t xml:space="preserve">Main lifting padeye</t>
  </si>
  <si>
    <t xml:space="preserve">COATING-IZ</t>
  </si>
  <si>
    <t xml:space="preserve">Inorganic zinc primer</t>
  </si>
  <si>
    <t xml:space="preserve">Marine epoxy</t>
  </si>
  <si>
    <t xml:space="preserve">L</t>
  </si>
  <si>
    <t xml:space="preserve">Coastline Marine Coatings</t>
  </si>
  <si>
    <t xml:space="preserve">COATING-EPOXY</t>
  </si>
  <si>
    <t xml:space="preserve">Epoxy mid coat</t>
  </si>
  <si>
    <t xml:space="preserve">ROV-PANEL</t>
  </si>
  <si>
    <t xml:space="preserve">ROV interface panel</t>
  </si>
  <si>
    <t xml:space="preserve">ROV connectors</t>
  </si>
  <si>
    <t xml:space="preserve">DeepDive ROV Systems</t>
  </si>
  <si>
    <t xml:space="preserve">BUOY-SUB</t>
  </si>
  <si>
    <t xml:space="preserve">Subsea distributed buoyancy</t>
  </si>
  <si>
    <t xml:space="preserve">FENDER-DOLPHIN</t>
  </si>
  <si>
    <t xml:space="preserve">Vessel fender + dolphin</t>
  </si>
  <si>
    <t xml:space="preserve">Marine equipment</t>
  </si>
  <si>
    <t xml:space="preserve">WALKWAY-GRATING</t>
  </si>
  <si>
    <t xml:space="preserve">GRP walkway grating</t>
  </si>
  <si>
    <t xml:space="preserve">HANDRAIL-SS</t>
  </si>
  <si>
    <t xml:space="preserve">SS316 handrail tubular</t>
  </si>
  <si>
    <t xml:space="preserve">LIFEBOAT-DAVIT</t>
  </si>
  <si>
    <t xml:space="preserve">Lifeboat davit launching system</t>
  </si>
  <si>
    <t xml:space="preserve">LIFERAFT-25P</t>
  </si>
  <si>
    <t xml:space="preserve">25-person life raft container</t>
  </si>
  <si>
    <t xml:space="preserve">VENT-AHU-EX</t>
  </si>
  <si>
    <t xml:space="preserve">Ex-rated AHU</t>
  </si>
  <si>
    <t xml:space="preserve">HVAC-DAMPER-FG</t>
  </si>
  <si>
    <t xml:space="preserve">Fire/gas damper</t>
  </si>
  <si>
    <t xml:space="preserve">FW-PUMP-ELEC</t>
  </si>
  <si>
    <t xml:space="preserve">Electric firewater pump</t>
  </si>
  <si>
    <t xml:space="preserve">GAS-DETECT-IR</t>
  </si>
  <si>
    <t xml:space="preserve">IR gas detector</t>
  </si>
  <si>
    <t xml:space="preserve">F&amp;G-PANEL</t>
  </si>
  <si>
    <t xml:space="preserve">F&amp;G control panel</t>
  </si>
  <si>
    <t xml:space="preserve">PAGA-SYSTEM</t>
  </si>
  <si>
    <t xml:space="preserve">PAGA public address</t>
  </si>
  <si>
    <t xml:space="preserve">LOT</t>
  </si>
  <si>
    <t xml:space="preserve">2026-11-17</t>
  </si>
  <si>
    <t xml:space="preserve">HELI-DECK-NET</t>
  </si>
  <si>
    <t xml:space="preserve">Helideck perimeter safety net</t>
  </si>
  <si>
    <t xml:space="preserve">MOORING-CHAIN</t>
  </si>
  <si>
    <t xml:space="preserve">R4 mooring chain 95mm</t>
  </si>
  <si>
    <t xml:space="preserve">Mooring</t>
  </si>
  <si>
    <t xml:space="preserve">ANCHOR-DEA</t>
  </si>
  <si>
    <t xml:space="preserve">Drag embedment anchor</t>
  </si>
  <si>
    <t xml:space="preserve">DP-THRUSTER</t>
  </si>
  <si>
    <t xml:space="preserve">Azimuth thruster 3 MW</t>
  </si>
  <si>
    <t xml:space="preserve">CRANE-OFFSHORE</t>
  </si>
  <si>
    <t xml:space="preserve">Knuckle-boom crane 50T</t>
  </si>
  <si>
    <t xml:space="preserve">CONN-WET-MATE</t>
  </si>
  <si>
    <t xml:space="preserve">ROV wet-mate 24-pin connector</t>
  </si>
  <si>
    <t xml:space="preserve">BOM-Northwind — uploadable to HYD-MAHADEV-220</t>
  </si>
  <si>
    <t xml:space="preserve">RUNNER-FRANCIS-A</t>
  </si>
  <si>
    <t xml:space="preserve">Francis turbine runner Unit A</t>
  </si>
  <si>
    <t xml:space="preserve">Hydro turbines</t>
  </si>
  <si>
    <t xml:space="preserve">Andritz Hydro</t>
  </si>
  <si>
    <t xml:space="preserve">SPEC-HYD-001</t>
  </si>
  <si>
    <t xml:space="preserve">DRG-HYD-RUN</t>
  </si>
  <si>
    <t xml:space="preserve">2027-03-07</t>
  </si>
  <si>
    <t xml:space="preserve">M07</t>
  </si>
  <si>
    <t xml:space="preserve">RUNNER-FRANCIS-B</t>
  </si>
  <si>
    <t xml:space="preserve">Francis turbine runner Unit B</t>
  </si>
  <si>
    <t xml:space="preserve">2027-04-06</t>
  </si>
  <si>
    <t xml:space="preserve">M08</t>
  </si>
  <si>
    <t xml:space="preserve">WICKET-GATE-A</t>
  </si>
  <si>
    <t xml:space="preserve">Wicket gate assembly Unit A</t>
  </si>
  <si>
    <t xml:space="preserve">WICKET-GATE-B</t>
  </si>
  <si>
    <t xml:space="preserve">Wicket gate assembly Unit B</t>
  </si>
  <si>
    <t xml:space="preserve">2027-02-05</t>
  </si>
  <si>
    <t xml:space="preserve">SPIRAL-CASE-A</t>
  </si>
  <si>
    <t xml:space="preserve">Spiral casing Unit A</t>
  </si>
  <si>
    <t xml:space="preserve">SPIRAL-CASE-B</t>
  </si>
  <si>
    <t xml:space="preserve">Spiral casing Unit B</t>
  </si>
  <si>
    <t xml:space="preserve">DRAFT-TUBE-A</t>
  </si>
  <si>
    <t xml:space="preserve">Draft tube fabrication Unit A</t>
  </si>
  <si>
    <t xml:space="preserve">Voith Industrial Services</t>
  </si>
  <si>
    <t xml:space="preserve">DRAFT-TUBE-B</t>
  </si>
  <si>
    <t xml:space="preserve">Draft tube fabrication Unit B</t>
  </si>
  <si>
    <t xml:space="preserve">GEN-STATOR-A</t>
  </si>
  <si>
    <t xml:space="preserve">Generator stator assembly A</t>
  </si>
  <si>
    <t xml:space="preserve">Generators</t>
  </si>
  <si>
    <t xml:space="preserve">Bharat Heavy Electricals</t>
  </si>
  <si>
    <t xml:space="preserve">SPEC-HYD-002</t>
  </si>
  <si>
    <t xml:space="preserve">2027-03-17</t>
  </si>
  <si>
    <t xml:space="preserve">GEN-STATOR-B</t>
  </si>
  <si>
    <t xml:space="preserve">Generator stator assembly B</t>
  </si>
  <si>
    <t xml:space="preserve">2027-04-16</t>
  </si>
  <si>
    <t xml:space="preserve">GEN-ROTOR-A</t>
  </si>
  <si>
    <t xml:space="preserve">Generator rotor + poles A</t>
  </si>
  <si>
    <t xml:space="preserve">GEN-ROTOR-B</t>
  </si>
  <si>
    <t xml:space="preserve">Generator rotor + poles B</t>
  </si>
  <si>
    <t xml:space="preserve">EXCITER-A</t>
  </si>
  <si>
    <t xml:space="preserve">Brushless exciter Unit A</t>
  </si>
  <si>
    <t xml:space="preserve">EXCITER-B</t>
  </si>
  <si>
    <t xml:space="preserve">Brushless exciter Unit B</t>
  </si>
  <si>
    <t xml:space="preserve">XFMR-GSU-160</t>
  </si>
  <si>
    <t xml:space="preserve">Generator step-up transformer 160 MVA</t>
  </si>
  <si>
    <t xml:space="preserve">2027-03-27</t>
  </si>
  <si>
    <t xml:space="preserve">M09</t>
  </si>
  <si>
    <t xml:space="preserve">XFMR-AUX</t>
  </si>
  <si>
    <t xml:space="preserve">Auxiliary transformer 5 MVA</t>
  </si>
  <si>
    <t xml:space="preserve">GIS-220-BAY</t>
  </si>
  <si>
    <t xml:space="preserve">220 kV GIS bay</t>
  </si>
  <si>
    <t xml:space="preserve">2027-04-26</t>
  </si>
  <si>
    <t xml:space="preserve">M10</t>
  </si>
  <si>
    <t xml:space="preserve">GIS-66-FEEDER</t>
  </si>
  <si>
    <t xml:space="preserve">66 kV GIS feeder bay</t>
  </si>
  <si>
    <t xml:space="preserve">PROT-RELAY-A</t>
  </si>
  <si>
    <t xml:space="preserve">Generator protection relay panel</t>
  </si>
  <si>
    <t xml:space="preserve">GOV-DIGITAL-A</t>
  </si>
  <si>
    <t xml:space="preserve">Digital governor + hydraulics A</t>
  </si>
  <si>
    <t xml:space="preserve">GOV-DIGITAL-B</t>
  </si>
  <si>
    <t xml:space="preserve">Digital governor + hydraulics B</t>
  </si>
  <si>
    <t xml:space="preserve">PENSTOCK-LINER-1</t>
  </si>
  <si>
    <t xml:space="preserve">Penstock liner segment 1</t>
  </si>
  <si>
    <t xml:space="preserve">Penstock fabrication</t>
  </si>
  <si>
    <t xml:space="preserve">SPEC-HYD-003</t>
  </si>
  <si>
    <t xml:space="preserve">M06</t>
  </si>
  <si>
    <t xml:space="preserve">PENSTOCK-LINER-2</t>
  </si>
  <si>
    <t xml:space="preserve">Penstock liner segment 2</t>
  </si>
  <si>
    <t xml:space="preserve">PENSTOCK-RING</t>
  </si>
  <si>
    <t xml:space="preserve">Penstock stiffening ring</t>
  </si>
  <si>
    <t xml:space="preserve">EXP-JOINT</t>
  </si>
  <si>
    <t xml:space="preserve">Expansion joint bellows</t>
  </si>
  <si>
    <t xml:space="preserve">BUTTERFLY-3M</t>
  </si>
  <si>
    <t xml:space="preserve">3 m butterfly intake valve</t>
  </si>
  <si>
    <t xml:space="preserve">GATE-RADIAL</t>
  </si>
  <si>
    <t xml:space="preserve">Radial gate spillway</t>
  </si>
  <si>
    <t xml:space="preserve">HOIST-RADIAL</t>
  </si>
  <si>
    <t xml:space="preserve">Spillway gate hoist</t>
  </si>
  <si>
    <t xml:space="preserve">EOT-CRANE-200</t>
  </si>
  <si>
    <t xml:space="preserve">EOT crane 200T</t>
  </si>
  <si>
    <t xml:space="preserve">EOT-CRANE-50-AUX</t>
  </si>
  <si>
    <t xml:space="preserve">EOT crane 50T auxiliary</t>
  </si>
  <si>
    <t xml:space="preserve">COOLING-HEX</t>
  </si>
  <si>
    <t xml:space="preserve">Heat exchanger generator cooling</t>
  </si>
  <si>
    <t xml:space="preserve">OIL-PURIFIER</t>
  </si>
  <si>
    <t xml:space="preserve">Oil purification skid</t>
  </si>
  <si>
    <t xml:space="preserve">FIRE-CO2-SYS</t>
  </si>
  <si>
    <t xml:space="preserve">CO2 fire suppression generator</t>
  </si>
  <si>
    <t xml:space="preserve">HVAC-MACH-HALL</t>
  </si>
  <si>
    <t xml:space="preserve">Machine hall HVAC system</t>
  </si>
  <si>
    <t xml:space="preserve">DCS-HYDRO</t>
  </si>
  <si>
    <t xml:space="preserve">DCS distributed control system</t>
  </si>
  <si>
    <t xml:space="preserve">INSTR-VIB</t>
  </si>
  <si>
    <t xml:space="preserve">Vibration monitoring system</t>
  </si>
  <si>
    <t xml:space="preserve">INSTR-PT-DAM</t>
  </si>
  <si>
    <t xml:space="preserve">Dam piezometer / instrumentation</t>
  </si>
  <si>
    <t xml:space="preserve">STEEL-DAM-FACE</t>
  </si>
  <si>
    <t xml:space="preserve">Dam concrete face rebar</t>
  </si>
  <si>
    <t xml:space="preserve">M04</t>
  </si>
  <si>
    <t xml:space="preserve">CEMENT-MASS-CON</t>
  </si>
  <si>
    <t xml:space="preserve">Mass concrete cement</t>
  </si>
  <si>
    <t xml:space="preserve">AGGREGATE-CON</t>
  </si>
  <si>
    <t xml:space="preserve">Concrete aggregate graded</t>
  </si>
  <si>
    <t xml:space="preserve">FORMWORK-DAM</t>
  </si>
  <si>
    <t xml:space="preserve">Modular dam formwork</t>
  </si>
  <si>
    <t xml:space="preserve">SHOTCRETE-TUN</t>
  </si>
  <si>
    <t xml:space="preserve">Shotcrete for diversion tunnel</t>
  </si>
  <si>
    <t xml:space="preserve">M02</t>
  </si>
  <si>
    <t xml:space="preserve">ROCKBOLT-TUN</t>
  </si>
  <si>
    <t xml:space="preserve">Tunnel rock bolt + plate</t>
  </si>
  <si>
    <t xml:space="preserve">CABLE-MV-DAM</t>
  </si>
  <si>
    <t xml:space="preserve">MV cable installed dam</t>
  </si>
  <si>
    <t xml:space="preserve">CABLE-LV-DAM</t>
  </si>
  <si>
    <t xml:space="preserve">LV cable bulk dam</t>
  </si>
  <si>
    <t xml:space="preserve">EARTH-MAT</t>
  </si>
  <si>
    <t xml:space="preserve">Generator hall earth mat</t>
  </si>
  <si>
    <t xml:space="preserve">BATTERY-DC</t>
  </si>
  <si>
    <t xml:space="preserve">220 V DC battery bank</t>
  </si>
  <si>
    <t xml:space="preserve">SCADA-COMMS</t>
  </si>
  <si>
    <t xml:space="preserve">SCADA RTU + comms</t>
  </si>
  <si>
    <t xml:space="preserve">HV-CB-220</t>
  </si>
  <si>
    <t xml:space="preserve">220 kV circuit breaker</t>
  </si>
  <si>
    <t xml:space="preserve">LA-220</t>
  </si>
  <si>
    <t xml:space="preserve">220 kV lightning arrester</t>
  </si>
  <si>
    <t xml:space="preserve">OVERHEAD-LINE</t>
  </si>
  <si>
    <t xml:space="preserve">Overhead transmission stringing</t>
  </si>
  <si>
    <t xml:space="preserve">FENCING-PERIM</t>
  </si>
  <si>
    <t xml:space="preserve">Perimeter security fencing</t>
  </si>
  <si>
    <t xml:space="preserve">M01</t>
  </si>
  <si>
    <t xml:space="preserve">ROAD-ACCESS-AGG</t>
  </si>
  <si>
    <t xml:space="preserve">Access road aggregate</t>
  </si>
  <si>
    <t xml:space="preserve">2026-07-15</t>
  </si>
  <si>
    <t xml:space="preserve">CULVERT-ARMCO</t>
  </si>
  <si>
    <t xml:space="preserve">Armco culvert sections</t>
  </si>
  <si>
    <t xml:space="preserve">SURVEY-EQUIP</t>
  </si>
  <si>
    <t xml:space="preserve">Total station + GPS</t>
  </si>
  <si>
    <t xml:space="preserve">CONCRETE-PUMP</t>
  </si>
  <si>
    <t xml:space="preserve">Truck-mounted concrete pump</t>
  </si>
  <si>
    <t xml:space="preserve">WELDING-CONSUM</t>
  </si>
  <si>
    <t xml:space="preserve">Welding consumables bulk</t>
  </si>
  <si>
    <t xml:space="preserve">HYDRAULIC-CYL</t>
  </si>
  <si>
    <t xml:space="preserve">Penstock hydraulic cylinder</t>
  </si>
  <si>
    <t xml:space="preserve">BEARING-THRUST</t>
  </si>
  <si>
    <t xml:space="preserve">Generator thrust bearing</t>
  </si>
  <si>
    <t xml:space="preserve">BEARING-GUIDE</t>
  </si>
  <si>
    <t xml:space="preserve">Generator guide bearing</t>
  </si>
  <si>
    <t xml:space="preserve">PUMP-DEWATER</t>
  </si>
  <si>
    <t xml:space="preserve">Powerhouse dewatering pump</t>
  </si>
  <si>
    <t xml:space="preserve">PUMP-DRAINAGE</t>
  </si>
  <si>
    <t xml:space="preserve">Drainage pump submersible</t>
  </si>
  <si>
    <t xml:space="preserve">EROSION-MAT</t>
  </si>
  <si>
    <t xml:space="preserve">Erosion control geotextile</t>
  </si>
  <si>
    <t xml:space="preserve">M03</t>
  </si>
  <si>
    <t xml:space="preserve">RIPRAP-STONE</t>
  </si>
  <si>
    <t xml:space="preserve">Riprap stone bedding</t>
  </si>
  <si>
    <t xml:space="preserve">REINFORCED-STEEL</t>
  </si>
  <si>
    <t xml:space="preserve">Reinforced steel mass concrete</t>
  </si>
  <si>
    <t xml:space="preserve">BLAST-MAT</t>
  </si>
  <si>
    <t xml:space="preserve">Blasting matting</t>
  </si>
  <si>
    <t xml:space="preserve">TRANS-LINE-TWR</t>
  </si>
  <si>
    <t xml:space="preserve">Transmission tower steel</t>
  </si>
  <si>
    <t xml:space="preserve">INSULATOR-DISC</t>
  </si>
  <si>
    <t xml:space="preserve">Disc insulator string</t>
  </si>
  <si>
    <t xml:space="preserve">CONDUCTOR-ACSR</t>
  </si>
  <si>
    <t xml:space="preserve">ACSR transmission conductor</t>
  </si>
  <si>
    <t xml:space="preserve">VENDORS</t>
  </si>
  <si>
    <t xml:space="preserve">Suppliers — reference list (rows tagged 'test' are net-new)</t>
  </si>
  <si>
    <t xml:space="preserve">name</t>
  </si>
  <si>
    <t xml:space="preserve">country</t>
  </si>
  <si>
    <t xml:space="preserve">lead_time_days</t>
  </si>
  <si>
    <t xml:space="preserve">on_time_delivery_pct</t>
  </si>
  <si>
    <t xml:space="preserve">quality_ppm</t>
  </si>
  <si>
    <t xml:space="preserve">annual_spend_usd</t>
  </si>
  <si>
    <t xml:space="preserve">approved_alternatives</t>
  </si>
  <si>
    <t xml:space="preserve">risk_flags</t>
  </si>
  <si>
    <t xml:space="preserve">Applies to tenants</t>
  </si>
  <si>
    <t xml:space="preserve">India</t>
  </si>
  <si>
    <t xml:space="preserve">single source; late NCR closure</t>
  </si>
  <si>
    <t xml:space="preserve">PLC and control panels</t>
  </si>
  <si>
    <t xml:space="preserve">Germany</t>
  </si>
  <si>
    <t xml:space="preserve">port congestion</t>
  </si>
  <si>
    <t xml:space="preserve">arcforge,helios</t>
  </si>
  <si>
    <t xml:space="preserve">Copper busbars</t>
  </si>
  <si>
    <t xml:space="preserve">Malaysia</t>
  </si>
  <si>
    <t xml:space="preserve">capacity constrained</t>
  </si>
  <si>
    <t xml:space="preserve">Japan</t>
  </si>
  <si>
    <t xml:space="preserve">new supplier</t>
  </si>
  <si>
    <t xml:space="preserve">Norway</t>
  </si>
  <si>
    <t xml:space="preserve">weather window critical</t>
  </si>
  <si>
    <t xml:space="preserve">UK</t>
  </si>
  <si>
    <t xml:space="preserve">single source; small batch</t>
  </si>
  <si>
    <t xml:space="preserve">Netherlands</t>
  </si>
  <si>
    <t xml:space="preserve">welder shortage</t>
  </si>
  <si>
    <t xml:space="preserve">Austria</t>
  </si>
  <si>
    <t xml:space="preserve">single source; long lead</t>
  </si>
  <si>
    <t xml:space="preserve">ThyssenKrupp Specialty Plate</t>
  </si>
  <si>
    <t xml:space="preserve">Alloy plate</t>
  </si>
  <si>
    <t xml:space="preserve">transport over-dimensional</t>
  </si>
  <si>
    <t xml:space="preserve">MeridianAlloys (test)</t>
  </si>
  <si>
    <t xml:space="preserve">arcforge,northwind</t>
  </si>
  <si>
    <t xml:space="preserve">ApexInstruments (test)</t>
  </si>
  <si>
    <t xml:space="preserve">USA</t>
  </si>
  <si>
    <t xml:space="preserve">arcforge,helios,northwind</t>
  </si>
  <si>
    <t xml:space="preserve">StratoLogistics (test)</t>
  </si>
  <si>
    <t xml:space="preserve">Freight forwarding</t>
  </si>
  <si>
    <t xml:space="preserve">Singapore</t>
  </si>
  <si>
    <t xml:space="preserve">Trident Pumps (test)</t>
  </si>
  <si>
    <t xml:space="preserve">China</t>
  </si>
  <si>
    <t xml:space="preserve">trade tariffs</t>
  </si>
  <si>
    <t xml:space="preserve">QA</t>
  </si>
  <si>
    <t xml:space="preserve">Test Scenarios — work P1 first, then P2/P3</t>
  </si>
  <si>
    <t xml:space="preserve">ID</t>
  </si>
  <si>
    <t xml:space="preserve">Feature area</t>
  </si>
  <si>
    <t xml:space="preserve">Persona</t>
  </si>
  <si>
    <t xml:space="preserve">Steps</t>
  </si>
  <si>
    <t xml:space="preserve">Expected outcome</t>
  </si>
  <si>
    <t xml:space="preserve">Priority</t>
  </si>
  <si>
    <t xml:space="preserve">Pass?</t>
  </si>
  <si>
    <t xml:space="preserve">T01</t>
  </si>
  <si>
    <t xml:space="preserve">Auth · login</t>
  </si>
  <si>
    <t xml:space="preserve">any</t>
  </si>
  <si>
    <t xml:space="preserve">Open /login → pick any persona → land on /overview</t>
  </si>
  <si>
    <t xml:space="preserve">Redirected to /overview; topbar shows correct tenant + role</t>
  </si>
  <si>
    <t xml:space="preserve">P1</t>
  </si>
  <si>
    <t xml:space="preserve">T02</t>
  </si>
  <si>
    <t xml:space="preserve">Auth · expired token</t>
  </si>
  <si>
    <t xml:space="preserve">Edit sessionStorage.sct.auth.token.v1 to invalid → reload</t>
  </si>
  <si>
    <t xml:space="preserve">Frontend clears token + redirects back to /login (no 'Token expired' wall)</t>
  </si>
  <si>
    <t xml:space="preserve">T03</t>
  </si>
  <si>
    <t xml:space="preserve">Auth · cross-tenant 404</t>
  </si>
  <si>
    <t xml:space="preserve">GET /api/projects/HYD-MAHADEV-220 with arcforge token</t>
  </si>
  <si>
    <t xml:space="preserve">HTTP 404 (helios/northwind data not visible)</t>
  </si>
  <si>
    <t xml:space="preserve">T04</t>
  </si>
  <si>
    <t xml:space="preserve">Portfolio · overview</t>
  </si>
  <si>
    <t xml:space="preserve">any-admin</t>
  </si>
  <si>
    <t xml:space="preserve">Open /overview</t>
  </si>
  <si>
    <t xml:space="preserve">Donut shows average completion %, spend rollup, buckets, schedule + activity panels</t>
  </si>
  <si>
    <t xml:space="preserve">T05</t>
  </si>
  <si>
    <t xml:space="preserve">Portfolio · tenant differs</t>
  </si>
  <si>
    <t xml:space="preserve">all three admins</t>
  </si>
  <si>
    <t xml:space="preserve">Login each, compare /overview</t>
  </si>
  <si>
    <t xml:space="preserve">Each tenant shows distinct project counts, budgets, sectors</t>
  </si>
  <si>
    <t xml:space="preserve">T06</t>
  </si>
  <si>
    <t xml:space="preserve">Portfolio · cache TTL</t>
  </si>
  <si>
    <t xml:space="preserve">Call /api/portfolio/summary twice within 10s, then after 15s</t>
  </si>
  <si>
    <t xml:space="preserve">Server-side cache returns same payload twice quickly, then refreshes</t>
  </si>
  <si>
    <t xml:space="preserve">P2</t>
  </si>
  <si>
    <t xml:space="preserve">T07</t>
  </si>
  <si>
    <t xml:space="preserve">Command palette · open</t>
  </si>
  <si>
    <t xml:space="preserve">Press ⌘K (Mac) or Ctrl+K (other)</t>
  </si>
  <si>
    <t xml:space="preserve">Modal opens centred; search input focused; lists default items</t>
  </si>
  <si>
    <t xml:space="preserve">T08</t>
  </si>
  <si>
    <t xml:space="preserve">Command palette · search vendor</t>
  </si>
  <si>
    <t xml:space="preserve">⌘K → type 'helios'</t>
  </si>
  <si>
    <t xml:space="preserve">Helios Cast &amp; Forge vendor row appears; Enter navigates to vendor page</t>
  </si>
  <si>
    <t xml:space="preserve">T09</t>
  </si>
  <si>
    <t xml:space="preserve">Command palette · search BOM</t>
  </si>
  <si>
    <t xml:space="preserve">⌘K → type 'runner'</t>
  </si>
  <si>
    <t xml:space="preserve">Francis runner BOM rows show; click navigates to project with bom=…</t>
  </si>
  <si>
    <t xml:space="preserve">T10</t>
  </si>
  <si>
    <t xml:space="preserve">Projects · list + cards</t>
  </si>
  <si>
    <t xml:space="preserve">Open /projects</t>
  </si>
  <si>
    <t xml:space="preserve">4 cards per tenant; each shows completion bar + next milestone + In Xd; in-flight project ~55% (amber)</t>
  </si>
  <si>
    <t xml:space="preserve">T11</t>
  </si>
  <si>
    <t xml:space="preserve">Projects · skeleton + animation</t>
  </si>
  <si>
    <t xml:space="preserve">Hard reload /projects with throttled network (DevTools Slow 3G)</t>
  </si>
  <si>
    <t xml:space="preserve">Shimmer skeletons render first, then cards fade-up</t>
  </si>
  <si>
    <t xml:space="preserve">T12</t>
  </si>
  <si>
    <t xml:space="preserve">Projects · hover prefetch</t>
  </si>
  <si>
    <t xml:space="preserve">Hover a project card before clicking</t>
  </si>
  <si>
    <t xml:space="preserve">Detail page loads near-instant (prefetched JSON + Next route)</t>
  </si>
  <si>
    <t xml:space="preserve">T13</t>
  </si>
  <si>
    <t xml:space="preserve">Project detail · completion breakdown</t>
  </si>
  <si>
    <t xml:space="preserve">Open an in-flight project</t>
  </si>
  <si>
    <t xml:space="preserve">Top panel shows blended % + Milestones / BOM delivered / Spend committed columns</t>
  </si>
  <si>
    <t xml:space="preserve">T14</t>
  </si>
  <si>
    <t xml:space="preserve">Project detail · milestones timeline</t>
  </si>
  <si>
    <t xml:space="preserve">Scroll milestones section</t>
  </si>
  <si>
    <t xml:space="preserve">Past milestones marked green; future ones outlined; date + 'in Xd' / 'Xd ago'</t>
  </si>
  <si>
    <t xml:space="preserve">T15</t>
  </si>
  <si>
    <t xml:space="preserve">BOM · list + status chips</t>
  </si>
  <si>
    <t xml:space="preserve">Project detail → BOM tab</t>
  </si>
  <si>
    <t xml:space="preserve">Table shows code, qty, supplier, lead, need by, milestone, spec, status (planned / spec_missing / ordered / delivered)</t>
  </si>
  <si>
    <t xml:space="preserve">T16</t>
  </si>
  <si>
    <t xml:space="preserve">BOM · search + status filter</t>
  </si>
  <si>
    <t xml:space="preserve">Type in search; pick 'spec_missing' from status dropdown</t>
  </si>
  <si>
    <t xml:space="preserve">Rows filter live; counter '5 of 9' updates</t>
  </si>
  <si>
    <t xml:space="preserve">T17</t>
  </si>
  <si>
    <t xml:space="preserve">BOM · row detail modal</t>
  </si>
  <si>
    <t xml:space="preserve">Click any BOM row</t>
  </si>
  <si>
    <t xml:space="preserve">Modal opens with full detail + spec/drawing refs + Create PR shortcut</t>
  </si>
  <si>
    <t xml:space="preserve">T18</t>
  </si>
  <si>
    <t xml:space="preserve">BOM · upload CSV</t>
  </si>
  <si>
    <t xml:space="preserve">Project detail → BOM tab → expand 'CSV format' → upload test-data/bom-arcforge-PRJ-RB-660.csv</t>
  </si>
  <si>
    <t xml:space="preserve">rows_parsed &gt; 0, rows_accepted == lines; new BOM items appear; audit event emitted</t>
  </si>
  <si>
    <t xml:space="preserve">T19</t>
  </si>
  <si>
    <t xml:space="preserve">Procurement plan · generate</t>
  </si>
  <si>
    <t xml:space="preserve">Project detail → Procurement Plan tab</t>
  </si>
  <si>
    <t xml:space="preserve">Plan packages grouped by milestone; long-lead + missing-spec flags listed; assumptions visible</t>
  </si>
  <si>
    <t xml:space="preserve">T20</t>
  </si>
  <si>
    <t xml:space="preserve">PR · create from BOM</t>
  </si>
  <si>
    <t xml:space="preserve">BOM row → Create PR → fill buyer + need by → submit</t>
  </si>
  <si>
    <t xml:space="preserve">POST /api/prs returns PR; row shows status updated</t>
  </si>
  <si>
    <t xml:space="preserve">T21</t>
  </si>
  <si>
    <t xml:space="preserve">PR · suggested vendors</t>
  </si>
  <si>
    <t xml:space="preserve">Open PR detail → check suggested vendors panel</t>
  </si>
  <si>
    <t xml:space="preserve">Top suppliers from supplier list shown, filtered to category</t>
  </si>
  <si>
    <t xml:space="preserve">T22</t>
  </si>
  <si>
    <t xml:space="preserve">RFQ · issue from PR</t>
  </si>
  <si>
    <t xml:space="preserve">PR detail → Issue RFQ → pick 3 vendors → submit</t>
  </si>
  <si>
    <t xml:space="preserve">RFQ created; PR status changes to rfq_issued</t>
  </si>
  <si>
    <t xml:space="preserve">T23</t>
  </si>
  <si>
    <t xml:space="preserve">Quote · receive</t>
  </si>
  <si>
    <t xml:space="preserve">RFQ detail → Add Quote → enter vendor/price/lead/incoterm</t>
  </si>
  <si>
    <t xml:space="preserve">Quote saved; PR status → quoted</t>
  </si>
  <si>
    <t xml:space="preserve">T24</t>
  </si>
  <si>
    <t xml:space="preserve">TBE · score quotes</t>
  </si>
  <si>
    <t xml:space="preserve">RFQ → TBE tab → set criteria + auto-evaluate</t>
  </si>
  <si>
    <t xml:space="preserve">Technical scores blended with commercial composite; recommendation surfaces</t>
  </si>
  <si>
    <t xml:space="preserve">T25</t>
  </si>
  <si>
    <t xml:space="preserve">Award · single-source</t>
  </si>
  <si>
    <t xml:space="preserve">RFQ with 1 vendor only → award</t>
  </si>
  <si>
    <t xml:space="preserve">Award created with rationale (LLM or deterministic); PO drafted</t>
  </si>
  <si>
    <t xml:space="preserve">T26</t>
  </si>
  <si>
    <t xml:space="preserve">Award · multi-vendor</t>
  </si>
  <si>
    <t xml:space="preserve">RFQ with 3 quotes → award winner</t>
  </si>
  <si>
    <t xml:space="preserve">PO created; vendor + value match award; audit chain shows pr_created → rfq_issued → quote_received → awarded → po_drafted</t>
  </si>
  <si>
    <t xml:space="preserve">T27</t>
  </si>
  <si>
    <t xml:space="preserve">PO · timeline</t>
  </si>
  <si>
    <t xml:space="preserve">PO detail → Timeline tab</t>
  </si>
  <si>
    <t xml:space="preserve">All upstream events ordered + linked back to PR / RFQ / Quote</t>
  </si>
  <si>
    <t xml:space="preserve">T28</t>
  </si>
  <si>
    <t xml:space="preserve">Vendors · intel list</t>
  </si>
  <si>
    <t xml:space="preserve">Open /vendors</t>
  </si>
  <si>
    <t xml:space="preserve">Scorecard table with grades + composite scores + flags</t>
  </si>
  <si>
    <t xml:space="preserve">T29</t>
  </si>
  <si>
    <t xml:space="preserve">Vendors · scorecard radar</t>
  </si>
  <si>
    <t xml:space="preserve">Vendor detail page</t>
  </si>
  <si>
    <t xml:space="preserve">6-axis radar (delivery/quality/price/responsiveness/claims/risk), alternates ranked</t>
  </si>
  <si>
    <t xml:space="preserve">T30</t>
  </si>
  <si>
    <t xml:space="preserve">Vendors · category concentration</t>
  </si>
  <si>
    <t xml:space="preserve">/vendors → concentration tab</t>
  </si>
  <si>
    <t xml:space="preserve">Top vendor share % per category; single_source flag set when n=1</t>
  </si>
  <si>
    <t xml:space="preserve">T31</t>
  </si>
  <si>
    <t xml:space="preserve">Expediting · queue</t>
  </si>
  <si>
    <t xml:space="preserve">Open /expediting</t>
  </si>
  <si>
    <t xml:space="preserve">Items sorted by slip probability; urgency badges OK/Watch/Nudge/Escalate; value at risk</t>
  </si>
  <si>
    <t xml:space="preserve">T32</t>
  </si>
  <si>
    <t xml:space="preserve">Expediting · follow-up email</t>
  </si>
  <si>
    <t xml:space="preserve">Click 'Draft follow-up' on a delayed PO → pick tone urgent</t>
  </si>
  <si>
    <t xml:space="preserve">Modal shows body + requested docs; Save logs audit event</t>
  </si>
  <si>
    <t xml:space="preserve">T33</t>
  </si>
  <si>
    <t xml:space="preserve">Logistics · shipment list</t>
  </si>
  <si>
    <t xml:space="preserve">Open /logistics</t>
  </si>
  <si>
    <t xml:space="preserve">Shipments sorted by bottleneck first, then slack; bottleneck badges visible</t>
  </si>
  <si>
    <t xml:space="preserve">T34</t>
  </si>
  <si>
    <t xml:space="preserve">Logistics · add event</t>
  </si>
  <si>
    <t xml:space="preserve">Open shipment → add event with stage in_transit + location</t>
  </si>
  <si>
    <t xml:space="preserve">New event appended; audit trail records stage_advanced</t>
  </si>
  <si>
    <t xml:space="preserve">T35</t>
  </si>
  <si>
    <t xml:space="preserve">Logistics · mode recommender</t>
  </si>
  <si>
    <t xml:space="preserve">Shipment detail → Recommend Mode</t>
  </si>
  <si>
    <t xml:space="preserve">Returns recommended mode + cost multiplier + transit estimate; rationale cited</t>
  </si>
  <si>
    <t xml:space="preserve">T36</t>
  </si>
  <si>
    <t xml:space="preserve">Commercial · roll-up</t>
  </si>
  <si>
    <t xml:space="preserve">Open /commercial</t>
  </si>
  <si>
    <t xml:space="preserve">Per-project budget vs quoted vs awarded; top savings + over-budget rows</t>
  </si>
  <si>
    <t xml:space="preserve">T37</t>
  </si>
  <si>
    <t xml:space="preserve">Commercial · scope to tenant</t>
  </si>
  <si>
    <t xml:space="preserve">Compare /commercial across tenants</t>
  </si>
  <si>
    <t xml:space="preserve">Each tenant sees distinct project list and totals</t>
  </si>
  <si>
    <t xml:space="preserve">T38</t>
  </si>
  <si>
    <t xml:space="preserve">Simulations · vendor slip</t>
  </si>
  <si>
    <t xml:space="preserve">/simulate → vendor_slip_2w → target Helios Cast &amp; Forge</t>
  </si>
  <si>
    <t xml:space="preserve">Result shows cost delta + schedule delta + milestone impacts + mitigations</t>
  </si>
  <si>
    <t xml:space="preserve">T39</t>
  </si>
  <si>
    <t xml:space="preserve">Simulations · customs hold</t>
  </si>
  <si>
    <t xml:space="preserve">/simulate → customs_hold → target a sourcing PO</t>
  </si>
  <si>
    <t xml:space="preserve">Result + LLM narrative (or deterministic fallback)</t>
  </si>
  <si>
    <t xml:space="preserve">T40</t>
  </si>
  <si>
    <t xml:space="preserve">Simulations · alt vendor</t>
  </si>
  <si>
    <t xml:space="preserve">alt_vendor target Helios → alternate Kerala Forge Works</t>
  </si>
  <si>
    <t xml:space="preserve">Result with delta vs current; mitigation list</t>
  </si>
  <si>
    <t xml:space="preserve">T41</t>
  </si>
  <si>
    <t xml:space="preserve">Weekly plan · build</t>
  </si>
  <si>
    <t xml:space="preserve">Open /weekly-plan</t>
  </si>
  <si>
    <t xml:space="preserve">P1/P2/P3 items grouped; AI narrative (Grok) or deterministic; KPI snapshot</t>
  </si>
  <si>
    <t xml:space="preserve">T42</t>
  </si>
  <si>
    <t xml:space="preserve">Agent chat · tool call</t>
  </si>
  <si>
    <t xml:space="preserve">/agent → ask 'Show me open PRs for Riverbank'</t>
  </si>
  <si>
    <t xml:space="preserve">Reply references open PRs (tool _tool_open_prs); source: 'grok' or 'deterministic'</t>
  </si>
  <si>
    <t xml:space="preserve">T43</t>
  </si>
  <si>
    <t xml:space="preserve">Risks · mitigations</t>
  </si>
  <si>
    <t xml:space="preserve">/risks → click 'Mitigations' on top risk</t>
  </si>
  <si>
    <t xml:space="preserve">3 concrete mitigations + audit log; source flag visible</t>
  </si>
  <si>
    <t xml:space="preserve">T44</t>
  </si>
  <si>
    <t xml:space="preserve">Audit · entity trace</t>
  </si>
  <si>
    <t xml:space="preserve">Open /audit → click any pr_no</t>
  </si>
  <si>
    <t xml:space="preserve">Full chain from BOM → PR → RFQ → Quote → Award → PO renders</t>
  </si>
  <si>
    <t xml:space="preserve">T45</t>
  </si>
  <si>
    <t xml:space="preserve">Audit · pivots + CSV export</t>
  </si>
  <si>
    <t xml:space="preserve">Open /audit → pivots → Materials → 'Export CSV'</t>
  </si>
  <si>
    <t xml:space="preserve">CSV downloads with all filtered events; filename includes timestamp</t>
  </si>
  <si>
    <t xml:space="preserve">T46</t>
  </si>
  <si>
    <t xml:space="preserve">SAP CPI · submit PR</t>
  </si>
  <si>
    <t xml:space="preserve">PR detail → 'Submit to SAP'</t>
  </si>
  <si>
    <t xml:space="preserve">sap_status transitions submitting → synced (or mock); sap_pr_no populated</t>
  </si>
  <si>
    <t xml:space="preserve">T47</t>
  </si>
  <si>
    <t xml:space="preserve">SAP CPI · webhook event</t>
  </si>
  <si>
    <t xml:space="preserve">external</t>
  </si>
  <si>
    <t xml:space="preserve">POST /api/integrations/sap/event with mock payload</t>
  </si>
  <si>
    <t xml:space="preserve">sap_status updated on matching PR/PO; event recorded</t>
  </si>
  <si>
    <t xml:space="preserve">P3</t>
  </si>
  <si>
    <t xml:space="preserve">T48</t>
  </si>
  <si>
    <t xml:space="preserve">Integrations · health</t>
  </si>
  <si>
    <t xml:space="preserve">/integrations → SAP card</t>
  </si>
  <si>
    <t xml:space="preserve">Health response shows mode + last event time</t>
  </si>
  <si>
    <t xml:space="preserve">T49</t>
  </si>
  <si>
    <t xml:space="preserve">RBAC · viewer write denied</t>
  </si>
  <si>
    <t xml:space="preserve">Try POST /api/prs as viewer</t>
  </si>
  <si>
    <t xml:space="preserve">HTTP 403 (require_perm('pr','create') triggers)</t>
  </si>
  <si>
    <t xml:space="preserve">T50</t>
  </si>
  <si>
    <t xml:space="preserve">RBAC · admin tenant switch</t>
  </si>
  <si>
    <t xml:space="preserve">GET /api/tenants then switch token via X-Tenant-Override header</t>
  </si>
  <si>
    <t xml:space="preserve">Admin can read other tenants; non-admin cannot</t>
  </si>
  <si>
    <t xml:space="preserve">T51</t>
  </si>
  <si>
    <t xml:space="preserve">CSV upload · error reporting</t>
  </si>
  <si>
    <t xml:space="preserve">Upload bom-edge-malformed.csv to PRJ-AF-CCGT</t>
  </si>
  <si>
    <t xml:space="preserve">rows_rejected ≥ 4 (empty code, bad qty, bad cost, bad date, bad lead); 'errors' list cites row numbers + reasons; the 4 OK rows are accepted; the bad-status row gets a warning and falls back to default</t>
  </si>
  <si>
    <t xml:space="preserve">T52</t>
  </si>
  <si>
    <t xml:space="preserve">CSV upload · minimal columns</t>
  </si>
  <si>
    <t xml:space="preserve">Upload bom-edge-minimal.csv to PRJ-AF-SUB (only code/description/quantity)</t>
  </si>
  <si>
    <t xml:space="preserve">All 5 rows accepted; uom defaults to 'EA'; status = 'spec_missing'; no errors</t>
  </si>
  <si>
    <t xml:space="preserve">T53</t>
  </si>
  <si>
    <t xml:space="preserve">CSV upload · status column honored</t>
  </si>
  <si>
    <t xml:space="preserve">Upload bom-status-mix-PRJ-RB-660.csv to PRJ-RB-660</t>
  </si>
  <si>
    <t xml:space="preserve">9 rows accepted with delivered/ordered/planned statuses preserved; Riverbank's completion % jumps from ~0% to ~30-40% on next /overview refresh (cache TTL 10s)</t>
  </si>
  <si>
    <t xml:space="preserve">T54</t>
  </si>
  <si>
    <t xml:space="preserve">CSV upload · status mix moves portfolio</t>
  </si>
  <si>
    <t xml:space="preserve">Upload bom-status-mix-PRJ-HE-FPSO.csv to PRJ-HE-FPSO</t>
  </si>
  <si>
    <t xml:space="preserve">FPSO completion bucket moves from 'Planning (0%)' to 'In progress (25-70%)'; portfolio donut average climbs</t>
  </si>
  <si>
    <t xml:space="preserve">T55</t>
  </si>
  <si>
    <t xml:space="preserve">CSV upload · status mix northwind</t>
  </si>
  <si>
    <t xml:space="preserve">Upload bom-status-mix-PRJ-NW-STEEL.csv to PRJ-NW-STEEL</t>
  </si>
  <si>
    <t xml:space="preserve">Polaris Steel project completion ~30-40%; spend_committed_pct on /api/projects/{id}/progress shows the delivered + ordered value</t>
  </si>
  <si>
    <t xml:space="preserve">T56</t>
  </si>
  <si>
    <t xml:space="preserve">CSV upload · unknown status warning</t>
  </si>
  <si>
    <t xml:space="preserve">any-head</t>
  </si>
  <si>
    <t xml:space="preserve">Upload bom-edge-malformed.csv → row EDGE-BADSTATUS</t>
  </si>
  <si>
    <t xml:space="preserve">errors list contains 'unknown status "super_dispatched" — using default'; row still accepted with derived status</t>
  </si>
  <si>
    <t xml:space="preserve">T57</t>
  </si>
  <si>
    <t xml:space="preserve">CSV upload · case-insensitive status</t>
  </si>
  <si>
    <t xml:space="preserve">Upload bom-edge-malformed.csv → row EDGE-OK-04</t>
  </si>
  <si>
    <t xml:space="preserve">Status 'ORDERED' normalised to lower-case 'ordered'; row accepted</t>
  </si>
  <si>
    <t xml:space="preserve">T58</t>
  </si>
  <si>
    <t xml:space="preserve">CSV upload · cross-tenant denial</t>
  </si>
  <si>
    <t xml:space="preserve">Try uploading bom-status-mix-PRJ-NW-STEEL.csv to PRJ-NW-STEEL with arcforge token</t>
  </si>
  <si>
    <t xml:space="preserve">Returns 404 (project_id appears 'unknown' from arcforge tenant's perspective)</t>
  </si>
  <si>
    <t xml:space="preserve">MATRIX</t>
  </si>
  <si>
    <t xml:space="preserve">Feature coverage — counts by area (formula-driven)</t>
  </si>
  <si>
    <t xml:space="preserve">Area</t>
  </si>
  <si>
    <t xml:space="preserve">P1 count</t>
  </si>
  <si>
    <t xml:space="preserve">P2 count</t>
  </si>
  <si>
    <t xml:space="preserve">P3 count</t>
  </si>
  <si>
    <t xml:space="preserve">Total</t>
  </si>
  <si>
    <t xml:space="preserve">Agent chat</t>
  </si>
  <si>
    <t xml:space="preserve">Audit</t>
  </si>
  <si>
    <t xml:space="preserve">Award</t>
  </si>
  <si>
    <t xml:space="preserve">CSV upload</t>
  </si>
  <si>
    <t xml:space="preserve">Command palette</t>
  </si>
  <si>
    <t xml:space="preserve">Commercial</t>
  </si>
  <si>
    <t xml:space="preserve">Expediting</t>
  </si>
  <si>
    <t xml:space="preserve">Integrations</t>
  </si>
  <si>
    <t xml:space="preserve">Logistics</t>
  </si>
  <si>
    <t xml:space="preserve">PO</t>
  </si>
  <si>
    <t xml:space="preserve">PR</t>
  </si>
  <si>
    <t xml:space="preserve">Portfolio</t>
  </si>
  <si>
    <t xml:space="preserve">Procurement plan</t>
  </si>
  <si>
    <t xml:space="preserve">Project detail</t>
  </si>
  <si>
    <t xml:space="preserve">Projects</t>
  </si>
  <si>
    <t xml:space="preserve">Quote</t>
  </si>
  <si>
    <t xml:space="preserve">RBAC</t>
  </si>
  <si>
    <t xml:space="preserve">RFQ</t>
  </si>
  <si>
    <t xml:space="preserve">Risks</t>
  </si>
  <si>
    <t xml:space="preserve">SAP CPI</t>
  </si>
  <si>
    <t xml:space="preserve">Simulations</t>
  </si>
  <si>
    <t xml:space="preserve">TBE</t>
  </si>
  <si>
    <t xml:space="preserve">Vendors</t>
  </si>
  <si>
    <t xml:space="preserve">Weekly plan</t>
  </si>
  <si>
    <t xml:space="preserve">TOTAL</t>
  </si>
  <si>
    <t xml:space="preserve">EDGE CASES</t>
  </si>
  <si>
    <t xml:space="preserve">Auxiliary CSV files for robustness + completion testing</t>
  </si>
  <si>
    <t xml:space="preserve">File</t>
  </si>
  <si>
    <t xml:space="preserve">Target project</t>
  </si>
  <si>
    <t xml:space="preserve">Contents</t>
  </si>
  <si>
    <t xml:space="preserve">Expected behaviour</t>
  </si>
  <si>
    <t xml:space="preserve">bom-edge-malformed.csv</t>
  </si>
  <si>
    <t xml:space="preserve">Error-path probe</t>
  </si>
  <si>
    <t xml:space="preserve">any greenfield (e.g. PRJ-AF-CCGT)</t>
  </si>
  <si>
    <t xml:space="preserve">12 rows, 6 deliberately bad</t>
  </si>
  <si>
    <t xml:space="preserve">rows_rejected count + per-row error messages</t>
  </si>
  <si>
    <t xml:space="preserve">bom-edge-minimal.csv</t>
  </si>
  <si>
    <t xml:space="preserve">Required-fields-only path</t>
  </si>
  <si>
    <t xml:space="preserve">any greenfield</t>
  </si>
  <si>
    <t xml:space="preserve">5 rows, only code/description/quantity</t>
  </si>
  <si>
    <t xml:space="preserve">All accepted, uom defaults to EA, status = spec_missing</t>
  </si>
  <si>
    <t xml:space="preserve">bom-status-mix-PRJ-RB-660.csv</t>
  </si>
  <si>
    <t xml:space="preserve">Status-mix for Riverbank</t>
  </si>
  <si>
    <t xml:space="preserve">PRJ-RB-660 (arcforge)</t>
  </si>
  <si>
    <t xml:space="preserve">9 rows: 5 delivered + 1 ordered + 3 planned</t>
  </si>
  <si>
    <t xml:space="preserve">Drives Riverbank to in-flight</t>
  </si>
  <si>
    <t xml:space="preserve">bom-status-mix-PRJ-HE-FPSO.csv</t>
  </si>
  <si>
    <t xml:space="preserve">Status-mix for Hawthorn FPSO</t>
  </si>
  <si>
    <t xml:space="preserve">PRJ-HE-FPSO (helios)</t>
  </si>
  <si>
    <t xml:space="preserve">Drives FPSO to in-flight</t>
  </si>
  <si>
    <t xml:space="preserve">bom-status-mix-PRJ-NW-STEEL.csv</t>
  </si>
  <si>
    <t xml:space="preserve">Status-mix for Polaris Steel Mill</t>
  </si>
  <si>
    <t xml:space="preserve">PRJ-NW-STEEL (northwind)</t>
  </si>
  <si>
    <t xml:space="preserve">Drives steel mill to in-flight</t>
  </si>
  <si>
    <t xml:space="preserve">HOW TO LOAD</t>
  </si>
  <si>
    <t xml:space="preserve">Sign in as a *-head-01 or *-admin-01 persona for the matching tenant. Open the target project → BOM tab → expand 'CSV format' → drop the file. The backend's upload_bom_csv now accepts an optional 'status' column (spec_missing | planned | requisitioned | ordered | delivered) and an optional 'parent_item_id' column — unknown statuses warn + fall back.</t>
  </si>
  <si>
    <t xml:space="preserve">API</t>
  </si>
  <si>
    <t xml:space="preserve">Public endpoints — auth via Bearer JWT unless marked 'no'</t>
  </si>
  <si>
    <t xml:space="preserve">Method</t>
  </si>
  <si>
    <t xml:space="preserve">Endpoint</t>
  </si>
  <si>
    <t xml:space="preserve">What it does</t>
  </si>
  <si>
    <t xml:space="preserve">Sample body</t>
  </si>
  <si>
    <t xml:space="preserve">POST</t>
  </si>
  <si>
    <t xml:space="preserve">/api/auth/login</t>
  </si>
  <si>
    <t xml:space="preserve">no</t>
  </si>
  <si>
    <t xml:space="preserve">Issue JWT for picked persona</t>
  </si>
  <si>
    <t xml:space="preserve">{ "user_id": "arcforge-admin-01" }</t>
  </si>
  <si>
    <t xml:space="preserve">GET</t>
  </si>
  <si>
    <t xml:space="preserve">/api/auth/me</t>
  </si>
  <si>
    <t xml:space="preserve">yes</t>
  </si>
  <si>
    <t xml:space="preserve">Current user + permissions</t>
  </si>
  <si>
    <t xml:space="preserve">/api/auth/personas</t>
  </si>
  <si>
    <t xml:space="preserve">All seeded personas across tenants</t>
  </si>
  <si>
    <t xml:space="preserve">/api/portfolio/summary</t>
  </si>
  <si>
    <t xml:space="preserve">Tenant cockpit aggregation (10s cache)</t>
  </si>
  <si>
    <t xml:space="preserve">/api/search/index</t>
  </si>
  <si>
    <t xml:space="preserve">Cmd+K palette index</t>
  </si>
  <si>
    <t xml:space="preserve">/api/projects</t>
  </si>
  <si>
    <t xml:space="preserve">List tenant projects</t>
  </si>
  <si>
    <t xml:space="preserve">/api/projects/progress</t>
  </si>
  <si>
    <t xml:space="preserve">Bulk completion % across projects</t>
  </si>
  <si>
    <t xml:space="preserve">/api/projects/{id}</t>
  </si>
  <si>
    <t xml:space="preserve">/api/projects/{id}/progress</t>
  </si>
  <si>
    <t xml:space="preserve">Single project completion breakdown</t>
  </si>
  <si>
    <t xml:space="preserve">/api/projects/{id}/bom</t>
  </si>
  <si>
    <t xml:space="preserve">BOM lines for project</t>
  </si>
  <si>
    <t xml:space="preserve">/api/projects/{id}/bom/upload</t>
  </si>
  <si>
    <t xml:space="preserve">Upload BOM CSV (multipart file)</t>
  </si>
  <si>
    <t xml:space="preserve">/api/projects/{id}/procurement-plan</t>
  </si>
  <si>
    <t xml:space="preserve">Build packages + long-lead + missing-spec flags</t>
  </si>
  <si>
    <t xml:space="preserve">/api/projects/{id}/bom/autofill</t>
  </si>
  <si>
    <t xml:space="preserve">AI fill missing supplier/category</t>
  </si>
  <si>
    <t xml:space="preserve">/api/projects/{id}/bom/{bom_id}/spec-request</t>
  </si>
  <si>
    <t xml:space="preserve">AI draft spec-request email</t>
  </si>
  <si>
    <t xml:space="preserve">/api/prs</t>
  </si>
  <si>
    <t xml:space="preserve">List PRs (tenant-scoped)</t>
  </si>
  <si>
    <t xml:space="preserve">Create PR</t>
  </si>
  <si>
    <t xml:space="preserve">{ project_id, bom_item_id, ... }</t>
  </si>
  <si>
    <t xml:space="preserve">/api/prs/{pr_no}</t>
  </si>
  <si>
    <t xml:space="preserve">PR detail</t>
  </si>
  <si>
    <t xml:space="preserve">/api/prs/{pr_no}/suggested-vendors</t>
  </si>
  <si>
    <t xml:space="preserve">Vendor suggestions for PR</t>
  </si>
  <si>
    <t xml:space="preserve">/api/prs/{pr_no}/submit-to-sap</t>
  </si>
  <si>
    <t xml:space="preserve">Submit to SAP CPI</t>
  </si>
  <si>
    <t xml:space="preserve">/api/rfqs</t>
  </si>
  <si>
    <t xml:space="preserve">List RFQs</t>
  </si>
  <si>
    <t xml:space="preserve">Issue RFQ from PR</t>
  </si>
  <si>
    <t xml:space="preserve">{ pr_no, vendors[], due_in_days, notes }</t>
  </si>
  <si>
    <t xml:space="preserve">/api/rfqs/{rfq_no}/quotes</t>
  </si>
  <si>
    <t xml:space="preserve">Quotes received</t>
  </si>
  <si>
    <t xml:space="preserve">Receive quote</t>
  </si>
  <si>
    <t xml:space="preserve">{ vendor, unit_price_usd, lead_time_days, ... }</t>
  </si>
  <si>
    <t xml:space="preserve">/api/rfqs/{rfq_no}/compare</t>
  </si>
  <si>
    <t xml:space="preserve">Quote comparison + winner</t>
  </si>
  <si>
    <t xml:space="preserve">/api/rfqs/{rfq_no}/award</t>
  </si>
  <si>
    <t xml:space="preserve">Award RFQ + draft PO</t>
  </si>
  <si>
    <t xml:space="preserve">{ quote_id, rationale? }</t>
  </si>
  <si>
    <t xml:space="preserve">/api/sourcing-pos</t>
  </si>
  <si>
    <t xml:space="preserve">List sourcing POs</t>
  </si>
  <si>
    <t xml:space="preserve">/api/sourcing-pos/{po_no}/timeline</t>
  </si>
  <si>
    <t xml:space="preserve">Full audit chain for PO</t>
  </si>
  <si>
    <t xml:space="preserve">/api/sourcing-pos/{po_no}/submit-to-sap</t>
  </si>
  <si>
    <t xml:space="preserve">Submit PO to SAP CPI</t>
  </si>
  <si>
    <t xml:space="preserve">/api/vendors/intel</t>
  </si>
  <si>
    <t xml:space="preserve">Vendor scorecard list</t>
  </si>
  <si>
    <t xml:space="preserve">/api/vendors/intel/{name}</t>
  </si>
  <si>
    <t xml:space="preserve">Single scorecard + alternates</t>
  </si>
  <si>
    <t xml:space="preserve">/api/vendors/intel/{name}/briefing</t>
  </si>
  <si>
    <t xml:space="preserve">AI risk briefing (Grok or deterministic)</t>
  </si>
  <si>
    <t xml:space="preserve">/api/vendors/concentration</t>
  </si>
  <si>
    <t xml:space="preserve">Category concentration</t>
  </si>
  <si>
    <t xml:space="preserve">/api/expediting/queue</t>
  </si>
  <si>
    <t xml:space="preserve">Expedite queue with urgency</t>
  </si>
  <si>
    <t xml:space="preserve">/api/expediting/{po}/draft-followup</t>
  </si>
  <si>
    <t xml:space="preserve">AI draft tone-aware follow-up email</t>
  </si>
  <si>
    <t xml:space="preserve">/api/logistics/shipments</t>
  </si>
  <si>
    <t xml:space="preserve">Shipment list</t>
  </si>
  <si>
    <t xml:space="preserve">/api/logistics/shipments/{po}/events</t>
  </si>
  <si>
    <t xml:space="preserve">Add shipment event</t>
  </si>
  <si>
    <t xml:space="preserve">/api/commercial/summary</t>
  </si>
  <si>
    <t xml:space="preserve">Budget vs quoted vs awarded roll-up</t>
  </si>
  <si>
    <t xml:space="preserve">/api/risk/simulate</t>
  </si>
  <si>
    <t xml:space="preserve">Run scenario (vendor_slip / customs_hold / alt_vendor)</t>
  </si>
  <si>
    <t xml:space="preserve">/api/weekly-plan</t>
  </si>
  <si>
    <t xml:space="preserve">Weekly priority plan + AI narrative</t>
  </si>
  <si>
    <t xml:space="preserve">/api/chat</t>
  </si>
  <si>
    <t xml:space="preserve">Agent dispatch with tool calling</t>
  </si>
  <si>
    <t xml:space="preserve">{ message, history? }</t>
  </si>
  <si>
    <t xml:space="preserve">/api/risks/mitigations</t>
  </si>
  <si>
    <t xml:space="preserve">AI mitigations for a risk record</t>
  </si>
  <si>
    <t xml:space="preserve">/api/explain</t>
  </si>
  <si>
    <t xml:space="preserve">Explain any entity (po/vendor/risk/project/rfq/pr)</t>
  </si>
  <si>
    <t xml:space="preserve">/api/audit</t>
  </si>
  <si>
    <t xml:space="preserve">Paginated audit events</t>
  </si>
  <si>
    <t xml:space="preserve">/api/audit/export.csv</t>
  </si>
  <si>
    <t xml:space="preserve">Download filtered audit log as CSV</t>
  </si>
  <si>
    <t xml:space="preserve">/healthz</t>
  </si>
  <si>
    <t xml:space="preserve">Liveness probe</t>
  </si>
  <si>
    <t xml:space="preserve">/readyz</t>
  </si>
  <si>
    <t xml:space="preserve">Readiness (snapshot status)</t>
  </si>
  <si>
    <t xml:space="preserve">/api/admin/snapshot</t>
  </si>
  <si>
    <t xml:space="preserve">Force in-memory snapshot to disk</t>
  </si>
</sst>
</file>

<file path=xl/styles.xml><?xml version="1.0" encoding="utf-8"?>
<styleSheet xmlns="http://schemas.openxmlformats.org/spreadsheetml/2006/main">
  <numFmts count="4">
    <numFmt numFmtId="164" formatCode="General"/>
    <numFmt numFmtId="165" formatCode="\$#,##0"/>
    <numFmt numFmtId="166" formatCode="0.0\%"/>
    <numFmt numFmtId="167" formatCode="\$#,##0;&quot;($&quot;#,##0\);\-"/>
  </numFmts>
  <fonts count="9">
    <font>
      <sz val="11"/>
      <color theme="1"/>
      <name val="Calibri"/>
      <family val="2"/>
      <charset val="1"/>
    </font>
    <font>
      <sz val="10"/>
      <name val="Arial"/>
      <family val="0"/>
    </font>
    <font>
      <sz val="10"/>
      <name val="Arial"/>
      <family val="0"/>
    </font>
    <font>
      <sz val="10"/>
      <name val="Arial"/>
      <family val="0"/>
    </font>
    <font>
      <b val="true"/>
      <sz val="9"/>
      <color rgb="FF11B29E"/>
      <name val="Arial"/>
      <family val="0"/>
      <charset val="1"/>
    </font>
    <font>
      <b val="true"/>
      <sz val="16"/>
      <name val="Arial"/>
      <family val="0"/>
      <charset val="1"/>
    </font>
    <font>
      <b val="true"/>
      <sz val="12"/>
      <name val="Arial"/>
      <family val="0"/>
      <charset val="1"/>
    </font>
    <font>
      <sz val="10"/>
      <name val="Arial"/>
      <family val="0"/>
      <charset val="1"/>
    </font>
    <font>
      <b val="true"/>
      <sz val="11"/>
      <color rgb="FFFFFFFF"/>
      <name val="Arial"/>
      <family val="0"/>
      <charset val="1"/>
    </font>
  </fonts>
  <fills count="4">
    <fill>
      <patternFill patternType="none"/>
    </fill>
    <fill>
      <patternFill patternType="gray125"/>
    </fill>
    <fill>
      <patternFill patternType="solid">
        <fgColor rgb="FF1B2D44"/>
        <bgColor rgb="FF003366"/>
      </patternFill>
    </fill>
    <fill>
      <patternFill patternType="solid">
        <fgColor rgb="FFF4F7FA"/>
        <bgColor rgb="FFFFFFFF"/>
      </patternFill>
    </fill>
  </fills>
  <borders count="2">
    <border diagonalUp="false" diagonalDown="false">
      <left/>
      <right/>
      <top/>
      <bottom/>
      <diagonal/>
    </border>
    <border diagonalUp="false" diagonalDown="false">
      <left style="thin">
        <color rgb="FFD9DDE2"/>
      </left>
      <right style="thin">
        <color rgb="FFD9DDE2"/>
      </right>
      <top style="thin">
        <color rgb="FFD9DDE2"/>
      </top>
      <bottom style="thin">
        <color rgb="FFD9DDE2"/>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2" borderId="1" xfId="0" applyFont="true" applyBorder="true" applyAlignment="true" applyProtection="false">
      <alignment horizontal="left" vertical="center"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6" fontId="7" fillId="0" borderId="1" xfId="0" applyFont="true" applyBorder="true" applyAlignment="true" applyProtection="false">
      <alignment horizontal="general" vertical="top" textRotation="0" wrapText="true" indent="0" shrinkToFit="false"/>
      <protection locked="true" hidden="false"/>
    </xf>
    <xf numFmtId="167" fontId="7" fillId="0" borderId="1" xfId="0" applyFont="true" applyBorder="true" applyAlignment="true" applyProtection="false">
      <alignment horizontal="general" vertical="top" textRotation="0" wrapText="true" indent="0" shrinkToFit="false"/>
      <protection locked="true" hidden="false"/>
    </xf>
    <xf numFmtId="166" fontId="7" fillId="3" borderId="1" xfId="0" applyFont="true" applyBorder="true" applyAlignment="true" applyProtection="false">
      <alignment horizontal="general" vertical="top" textRotation="0" wrapText="true" indent="0" shrinkToFit="false"/>
      <protection locked="true" hidden="false"/>
    </xf>
    <xf numFmtId="167" fontId="7" fillId="3"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4F7FA"/>
      <rgbColor rgb="FFCCFFFF"/>
      <rgbColor rgb="FF660066"/>
      <rgbColor rgb="FFFF8080"/>
      <rgbColor rgb="FF0066CC"/>
      <rgbColor rgb="FFD9DDE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11B29E"/>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B2D4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2"/>
    <col collapsed="false" customWidth="true" hidden="false" outlineLevel="0" max="2" min="2" style="0" width="110"/>
  </cols>
  <sheetData>
    <row r="1" customFormat="false" ht="15" hidden="false" customHeight="false" outlineLevel="0" collapsed="false">
      <c r="A1" s="1" t="s">
        <v>0</v>
      </c>
    </row>
    <row r="2" customFormat="false" ht="19.7" hidden="false" customHeight="false" outlineLevel="0" collapsed="false">
      <c r="A2" s="2" t="s">
        <v>1</v>
      </c>
    </row>
    <row r="4" customFormat="false" ht="36" hidden="false" customHeight="true" outlineLevel="0" collapsed="false">
      <c r="A4" s="3" t="s">
        <v>2</v>
      </c>
      <c r="B4" s="4" t="s">
        <v>3</v>
      </c>
    </row>
    <row r="5" customFormat="false" ht="36" hidden="false" customHeight="true" outlineLevel="0" collapsed="false">
      <c r="A5" s="3" t="s">
        <v>4</v>
      </c>
      <c r="B5" s="4" t="s">
        <v>5</v>
      </c>
    </row>
    <row r="6" customFormat="false" ht="108" hidden="false" customHeight="true" outlineLevel="0" collapsed="false">
      <c r="A6" s="3" t="s">
        <v>6</v>
      </c>
      <c r="B6" s="4" t="s">
        <v>7</v>
      </c>
    </row>
    <row r="7" customFormat="false" ht="36" hidden="false" customHeight="true" outlineLevel="0" collapsed="false">
      <c r="A7" s="3" t="s">
        <v>8</v>
      </c>
      <c r="B7" s="4" t="s">
        <v>9</v>
      </c>
    </row>
    <row r="8" customFormat="false" ht="36" hidden="false" customHeight="true" outlineLevel="0" collapsed="false">
      <c r="A8" s="3" t="s">
        <v>10</v>
      </c>
      <c r="B8" s="4" t="s">
        <v>11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28"/>
    <col collapsed="false" customWidth="true" hidden="false" outlineLevel="0" max="3" min="3" style="0" width="32"/>
    <col collapsed="false" customWidth="true" hidden="false" outlineLevel="0" max="4" min="4" style="0" width="30"/>
    <col collapsed="false" customWidth="true" hidden="false" outlineLevel="0" max="5" min="5" style="0" width="18"/>
    <col collapsed="false" customWidth="true" hidden="false" outlineLevel="0" max="6" min="6" style="0" width="70"/>
  </cols>
  <sheetData>
    <row r="1" customFormat="false" ht="15" hidden="false" customHeight="false" outlineLevel="0" collapsed="false">
      <c r="A1" s="1" t="s">
        <v>12</v>
      </c>
    </row>
    <row r="2" customFormat="false" ht="19.7" hidden="false" customHeight="false" outlineLevel="0" collapsed="false">
      <c r="A2" s="2" t="s">
        <v>13</v>
      </c>
    </row>
    <row r="4" customFormat="false" ht="21.75" hidden="false" customHeight="true" outlineLevel="0" collapsed="false">
      <c r="A4" s="5" t="s">
        <v>14</v>
      </c>
      <c r="B4" s="5" t="s">
        <v>15</v>
      </c>
      <c r="C4" s="5" t="s">
        <v>16</v>
      </c>
      <c r="D4" s="5" t="s">
        <v>17</v>
      </c>
      <c r="E4" s="5" t="s">
        <v>18</v>
      </c>
      <c r="F4" s="5" t="s">
        <v>19</v>
      </c>
    </row>
    <row r="5" customFormat="false" ht="15" hidden="false" customHeight="false" outlineLevel="0" collapsed="false">
      <c r="A5" s="6" t="s">
        <v>20</v>
      </c>
      <c r="B5" s="6" t="s">
        <v>21</v>
      </c>
      <c r="C5" s="6" t="s">
        <v>22</v>
      </c>
      <c r="D5" s="6" t="s">
        <v>23</v>
      </c>
      <c r="E5" s="6" t="s">
        <v>24</v>
      </c>
      <c r="F5" s="6" t="s">
        <v>25</v>
      </c>
    </row>
    <row r="6" customFormat="false" ht="15" hidden="false" customHeight="false" outlineLevel="0" collapsed="false">
      <c r="A6" s="7" t="s">
        <v>26</v>
      </c>
      <c r="B6" s="7" t="s">
        <v>27</v>
      </c>
      <c r="C6" s="7" t="s">
        <v>28</v>
      </c>
      <c r="D6" s="7" t="s">
        <v>23</v>
      </c>
      <c r="E6" s="7" t="s">
        <v>29</v>
      </c>
      <c r="F6" s="7" t="s">
        <v>30</v>
      </c>
    </row>
    <row r="7" customFormat="false" ht="15" hidden="false" customHeight="false" outlineLevel="0" collapsed="false">
      <c r="A7" s="6" t="s">
        <v>31</v>
      </c>
      <c r="B7" s="6" t="s">
        <v>32</v>
      </c>
      <c r="C7" s="6" t="s">
        <v>33</v>
      </c>
      <c r="D7" s="6" t="s">
        <v>23</v>
      </c>
      <c r="E7" s="6" t="s">
        <v>34</v>
      </c>
      <c r="F7" s="6" t="s">
        <v>35</v>
      </c>
    </row>
    <row r="8" customFormat="false" ht="15" hidden="false" customHeight="false" outlineLevel="0" collapsed="false">
      <c r="A8" s="7" t="s">
        <v>36</v>
      </c>
      <c r="B8" s="7" t="s">
        <v>37</v>
      </c>
      <c r="C8" s="7" t="s">
        <v>38</v>
      </c>
      <c r="D8" s="7" t="s">
        <v>23</v>
      </c>
      <c r="E8" s="7" t="s">
        <v>39</v>
      </c>
      <c r="F8" s="7" t="s">
        <v>40</v>
      </c>
    </row>
    <row r="9" customFormat="false" ht="15" hidden="false" customHeight="false" outlineLevel="0" collapsed="false">
      <c r="A9" s="6" t="s">
        <v>41</v>
      </c>
      <c r="B9" s="6" t="s">
        <v>42</v>
      </c>
      <c r="C9" s="6" t="s">
        <v>43</v>
      </c>
      <c r="D9" s="6" t="s">
        <v>23</v>
      </c>
      <c r="E9" s="6" t="s">
        <v>44</v>
      </c>
      <c r="F9" s="6" t="s">
        <v>45</v>
      </c>
    </row>
    <row r="10" customFormat="false" ht="15" hidden="false" customHeight="false" outlineLevel="0" collapsed="false">
      <c r="A10" s="7" t="s">
        <v>46</v>
      </c>
      <c r="B10" s="7" t="s">
        <v>21</v>
      </c>
      <c r="C10" s="7" t="s">
        <v>47</v>
      </c>
      <c r="D10" s="7" t="s">
        <v>48</v>
      </c>
      <c r="E10" s="7" t="s">
        <v>24</v>
      </c>
      <c r="F10" s="7" t="s">
        <v>25</v>
      </c>
    </row>
    <row r="11" customFormat="false" ht="15" hidden="false" customHeight="false" outlineLevel="0" collapsed="false">
      <c r="A11" s="6" t="s">
        <v>49</v>
      </c>
      <c r="B11" s="6" t="s">
        <v>27</v>
      </c>
      <c r="C11" s="6" t="s">
        <v>50</v>
      </c>
      <c r="D11" s="6" t="s">
        <v>48</v>
      </c>
      <c r="E11" s="6" t="s">
        <v>29</v>
      </c>
      <c r="F11" s="6" t="s">
        <v>30</v>
      </c>
    </row>
    <row r="12" customFormat="false" ht="15" hidden="false" customHeight="false" outlineLevel="0" collapsed="false">
      <c r="A12" s="7" t="s">
        <v>51</v>
      </c>
      <c r="B12" s="7" t="s">
        <v>32</v>
      </c>
      <c r="C12" s="7" t="s">
        <v>52</v>
      </c>
      <c r="D12" s="7" t="s">
        <v>48</v>
      </c>
      <c r="E12" s="7" t="s">
        <v>34</v>
      </c>
      <c r="F12" s="7" t="s">
        <v>35</v>
      </c>
    </row>
    <row r="13" customFormat="false" ht="15" hidden="false" customHeight="false" outlineLevel="0" collapsed="false">
      <c r="A13" s="6" t="s">
        <v>53</v>
      </c>
      <c r="B13" s="6" t="s">
        <v>37</v>
      </c>
      <c r="C13" s="6" t="s">
        <v>54</v>
      </c>
      <c r="D13" s="6" t="s">
        <v>48</v>
      </c>
      <c r="E13" s="6" t="s">
        <v>39</v>
      </c>
      <c r="F13" s="6" t="s">
        <v>40</v>
      </c>
    </row>
    <row r="14" customFormat="false" ht="15" hidden="false" customHeight="false" outlineLevel="0" collapsed="false">
      <c r="A14" s="7" t="s">
        <v>55</v>
      </c>
      <c r="B14" s="7" t="s">
        <v>42</v>
      </c>
      <c r="C14" s="7" t="s">
        <v>56</v>
      </c>
      <c r="D14" s="7" t="s">
        <v>48</v>
      </c>
      <c r="E14" s="7" t="s">
        <v>44</v>
      </c>
      <c r="F14" s="7" t="s">
        <v>45</v>
      </c>
    </row>
    <row r="15" customFormat="false" ht="15" hidden="false" customHeight="false" outlineLevel="0" collapsed="false">
      <c r="A15" s="6" t="s">
        <v>57</v>
      </c>
      <c r="B15" s="6" t="s">
        <v>21</v>
      </c>
      <c r="C15" s="6" t="s">
        <v>58</v>
      </c>
      <c r="D15" s="6" t="s">
        <v>59</v>
      </c>
      <c r="E15" s="6" t="s">
        <v>24</v>
      </c>
      <c r="F15" s="6" t="s">
        <v>25</v>
      </c>
    </row>
    <row r="16" customFormat="false" ht="15" hidden="false" customHeight="false" outlineLevel="0" collapsed="false">
      <c r="A16" s="7" t="s">
        <v>60</v>
      </c>
      <c r="B16" s="7" t="s">
        <v>27</v>
      </c>
      <c r="C16" s="7" t="s">
        <v>61</v>
      </c>
      <c r="D16" s="7" t="s">
        <v>59</v>
      </c>
      <c r="E16" s="7" t="s">
        <v>29</v>
      </c>
      <c r="F16" s="7" t="s">
        <v>30</v>
      </c>
    </row>
    <row r="17" customFormat="false" ht="15" hidden="false" customHeight="false" outlineLevel="0" collapsed="false">
      <c r="A17" s="6" t="s">
        <v>62</v>
      </c>
      <c r="B17" s="6" t="s">
        <v>32</v>
      </c>
      <c r="C17" s="6" t="s">
        <v>63</v>
      </c>
      <c r="D17" s="6" t="s">
        <v>59</v>
      </c>
      <c r="E17" s="6" t="s">
        <v>34</v>
      </c>
      <c r="F17" s="6" t="s">
        <v>35</v>
      </c>
    </row>
    <row r="18" customFormat="false" ht="15" hidden="false" customHeight="false" outlineLevel="0" collapsed="false">
      <c r="A18" s="7" t="s">
        <v>64</v>
      </c>
      <c r="B18" s="7" t="s">
        <v>37</v>
      </c>
      <c r="C18" s="7" t="s">
        <v>65</v>
      </c>
      <c r="D18" s="7" t="s">
        <v>59</v>
      </c>
      <c r="E18" s="7" t="s">
        <v>39</v>
      </c>
      <c r="F18" s="7" t="s">
        <v>40</v>
      </c>
    </row>
    <row r="19" customFormat="false" ht="15" hidden="false" customHeight="false" outlineLevel="0" collapsed="false">
      <c r="A19" s="6" t="s">
        <v>66</v>
      </c>
      <c r="B19" s="6" t="s">
        <v>42</v>
      </c>
      <c r="C19" s="6" t="s">
        <v>67</v>
      </c>
      <c r="D19" s="6" t="s">
        <v>59</v>
      </c>
      <c r="E19" s="6" t="s">
        <v>44</v>
      </c>
      <c r="F19" s="6" t="s">
        <v>45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4"/>
    <col collapsed="false" customWidth="true" hidden="false" outlineLevel="0" max="2" min="2" style="0" width="22"/>
    <col collapsed="false" customWidth="true" hidden="false" outlineLevel="0" max="3" min="3" style="0" width="46"/>
    <col collapsed="false" customWidth="true" hidden="false" outlineLevel="0" max="4" min="4" style="0" width="36"/>
    <col collapsed="false" customWidth="true" hidden="false" outlineLevel="0" max="5" min="5" style="0" width="32"/>
    <col collapsed="false" customWidth="true" hidden="false" outlineLevel="0" max="6" min="6" style="0" width="26"/>
    <col collapsed="false" customWidth="true" hidden="false" outlineLevel="0" max="7" min="7" style="0" width="28"/>
    <col collapsed="false" customWidth="true" hidden="false" outlineLevel="0" max="8" min="8" style="0" width="18"/>
  </cols>
  <sheetData>
    <row r="1" customFormat="false" ht="15" hidden="false" customHeight="false" outlineLevel="0" collapsed="false">
      <c r="A1" s="1" t="s">
        <v>68</v>
      </c>
    </row>
    <row r="2" customFormat="false" ht="19.7" hidden="false" customHeight="false" outlineLevel="0" collapsed="false">
      <c r="A2" s="2" t="s">
        <v>69</v>
      </c>
    </row>
    <row r="4" customFormat="false" ht="21.75" hidden="false" customHeight="true" outlineLevel="0" collapsed="false">
      <c r="A4" s="5" t="s">
        <v>17</v>
      </c>
      <c r="B4" s="5" t="s">
        <v>70</v>
      </c>
      <c r="C4" s="5" t="s">
        <v>71</v>
      </c>
      <c r="D4" s="5" t="s">
        <v>72</v>
      </c>
      <c r="E4" s="5" t="s">
        <v>73</v>
      </c>
      <c r="F4" s="5" t="s">
        <v>74</v>
      </c>
      <c r="G4" s="5" t="s">
        <v>75</v>
      </c>
      <c r="H4" s="5" t="s">
        <v>76</v>
      </c>
    </row>
    <row r="5" customFormat="false" ht="15" hidden="false" customHeight="false" outlineLevel="0" collapsed="false">
      <c r="A5" s="6" t="s">
        <v>77</v>
      </c>
      <c r="B5" s="6" t="s">
        <v>78</v>
      </c>
      <c r="C5" s="6" t="s">
        <v>79</v>
      </c>
      <c r="D5" s="6" t="s">
        <v>80</v>
      </c>
      <c r="E5" s="6" t="s">
        <v>81</v>
      </c>
      <c r="F5" s="6" t="s">
        <v>82</v>
      </c>
      <c r="G5" s="6" t="s">
        <v>83</v>
      </c>
      <c r="H5" s="6" t="n">
        <v>8</v>
      </c>
    </row>
    <row r="6" customFormat="false" ht="15" hidden="false" customHeight="false" outlineLevel="0" collapsed="false">
      <c r="A6" s="7" t="s">
        <v>77</v>
      </c>
      <c r="B6" s="7" t="s">
        <v>84</v>
      </c>
      <c r="C6" s="7" t="s">
        <v>85</v>
      </c>
      <c r="D6" s="7" t="s">
        <v>80</v>
      </c>
      <c r="E6" s="7" t="s">
        <v>86</v>
      </c>
      <c r="F6" s="7" t="s">
        <v>82</v>
      </c>
      <c r="G6" s="7" t="s">
        <v>83</v>
      </c>
      <c r="H6" s="7" t="n">
        <v>5</v>
      </c>
    </row>
    <row r="7" customFormat="false" ht="15" hidden="false" customHeight="false" outlineLevel="0" collapsed="false">
      <c r="A7" s="6" t="s">
        <v>77</v>
      </c>
      <c r="B7" s="6" t="s">
        <v>87</v>
      </c>
      <c r="C7" s="6" t="s">
        <v>88</v>
      </c>
      <c r="D7" s="6" t="s">
        <v>89</v>
      </c>
      <c r="E7" s="6" t="s">
        <v>90</v>
      </c>
      <c r="F7" s="6" t="s">
        <v>91</v>
      </c>
      <c r="G7" s="6" t="s">
        <v>83</v>
      </c>
      <c r="H7" s="6" t="n">
        <v>5</v>
      </c>
    </row>
    <row r="8" customFormat="false" ht="15" hidden="false" customHeight="false" outlineLevel="0" collapsed="false">
      <c r="A8" s="7" t="s">
        <v>77</v>
      </c>
      <c r="B8" s="7" t="s">
        <v>92</v>
      </c>
      <c r="C8" s="7" t="s">
        <v>93</v>
      </c>
      <c r="D8" s="7" t="s">
        <v>80</v>
      </c>
      <c r="E8" s="7" t="s">
        <v>94</v>
      </c>
      <c r="F8" s="7" t="s">
        <v>82</v>
      </c>
      <c r="G8" s="7" t="s">
        <v>95</v>
      </c>
      <c r="H8" s="7" t="n">
        <v>9</v>
      </c>
    </row>
    <row r="9" customFormat="false" ht="15" hidden="false" customHeight="false" outlineLevel="0" collapsed="false">
      <c r="A9" s="6" t="s">
        <v>96</v>
      </c>
      <c r="B9" s="6" t="s">
        <v>97</v>
      </c>
      <c r="C9" s="6" t="s">
        <v>98</v>
      </c>
      <c r="D9" s="6" t="s">
        <v>99</v>
      </c>
      <c r="E9" s="6" t="s">
        <v>100</v>
      </c>
      <c r="F9" s="6" t="s">
        <v>101</v>
      </c>
      <c r="G9" s="6" t="s">
        <v>83</v>
      </c>
      <c r="H9" s="6" t="n">
        <v>4</v>
      </c>
    </row>
    <row r="10" customFormat="false" ht="15" hidden="false" customHeight="false" outlineLevel="0" collapsed="false">
      <c r="A10" s="7" t="s">
        <v>96</v>
      </c>
      <c r="B10" s="7" t="s">
        <v>102</v>
      </c>
      <c r="C10" s="7" t="s">
        <v>103</v>
      </c>
      <c r="D10" s="7" t="s">
        <v>104</v>
      </c>
      <c r="E10" s="7" t="s">
        <v>105</v>
      </c>
      <c r="F10" s="7" t="s">
        <v>106</v>
      </c>
      <c r="G10" s="7" t="s">
        <v>83</v>
      </c>
      <c r="H10" s="7" t="n">
        <v>5</v>
      </c>
    </row>
    <row r="11" customFormat="false" ht="15" hidden="false" customHeight="false" outlineLevel="0" collapsed="false">
      <c r="A11" s="6" t="s">
        <v>96</v>
      </c>
      <c r="B11" s="6" t="s">
        <v>107</v>
      </c>
      <c r="C11" s="6" t="s">
        <v>108</v>
      </c>
      <c r="D11" s="6" t="s">
        <v>109</v>
      </c>
      <c r="E11" s="6" t="s">
        <v>110</v>
      </c>
      <c r="F11" s="6" t="s">
        <v>111</v>
      </c>
      <c r="G11" s="6" t="s">
        <v>83</v>
      </c>
      <c r="H11" s="6" t="n">
        <v>5</v>
      </c>
    </row>
    <row r="12" customFormat="false" ht="15" hidden="false" customHeight="false" outlineLevel="0" collapsed="false">
      <c r="A12" s="7" t="s">
        <v>96</v>
      </c>
      <c r="B12" s="7" t="s">
        <v>112</v>
      </c>
      <c r="C12" s="7" t="s">
        <v>113</v>
      </c>
      <c r="D12" s="7" t="s">
        <v>109</v>
      </c>
      <c r="E12" s="7" t="s">
        <v>114</v>
      </c>
      <c r="F12" s="7" t="s">
        <v>111</v>
      </c>
      <c r="G12" s="7" t="s">
        <v>95</v>
      </c>
      <c r="H12" s="7" t="n">
        <v>9</v>
      </c>
    </row>
    <row r="13" customFormat="false" ht="15" hidden="false" customHeight="false" outlineLevel="0" collapsed="false">
      <c r="A13" s="6" t="s">
        <v>115</v>
      </c>
      <c r="B13" s="6" t="s">
        <v>116</v>
      </c>
      <c r="C13" s="6" t="s">
        <v>117</v>
      </c>
      <c r="D13" s="6" t="s">
        <v>118</v>
      </c>
      <c r="E13" s="6" t="s">
        <v>119</v>
      </c>
      <c r="F13" s="6" t="s">
        <v>120</v>
      </c>
      <c r="G13" s="6" t="s">
        <v>121</v>
      </c>
      <c r="H13" s="6" t="n">
        <v>70</v>
      </c>
    </row>
    <row r="14" customFormat="false" ht="15" hidden="false" customHeight="false" outlineLevel="0" collapsed="false">
      <c r="A14" s="7" t="s">
        <v>115</v>
      </c>
      <c r="B14" s="7" t="s">
        <v>122</v>
      </c>
      <c r="C14" s="7" t="s">
        <v>123</v>
      </c>
      <c r="D14" s="7" t="s">
        <v>124</v>
      </c>
      <c r="E14" s="7" t="s">
        <v>125</v>
      </c>
      <c r="F14" s="7" t="s">
        <v>126</v>
      </c>
      <c r="G14" s="7" t="s">
        <v>83</v>
      </c>
      <c r="H14" s="7" t="n">
        <v>5</v>
      </c>
    </row>
    <row r="15" customFormat="false" ht="15" hidden="false" customHeight="false" outlineLevel="0" collapsed="false">
      <c r="A15" s="6" t="s">
        <v>115</v>
      </c>
      <c r="B15" s="6" t="s">
        <v>127</v>
      </c>
      <c r="C15" s="6" t="s">
        <v>128</v>
      </c>
      <c r="D15" s="6" t="s">
        <v>129</v>
      </c>
      <c r="E15" s="6" t="s">
        <v>130</v>
      </c>
      <c r="F15" s="6" t="s">
        <v>126</v>
      </c>
      <c r="G15" s="6" t="s">
        <v>83</v>
      </c>
      <c r="H15" s="6" t="n">
        <v>5</v>
      </c>
    </row>
    <row r="16" customFormat="false" ht="15" hidden="false" customHeight="false" outlineLevel="0" collapsed="false">
      <c r="A16" s="7" t="s">
        <v>115</v>
      </c>
      <c r="B16" s="7" t="s">
        <v>131</v>
      </c>
      <c r="C16" s="7" t="s">
        <v>132</v>
      </c>
      <c r="D16" s="7" t="s">
        <v>118</v>
      </c>
      <c r="E16" s="7" t="s">
        <v>133</v>
      </c>
      <c r="F16" s="7" t="s">
        <v>120</v>
      </c>
      <c r="G16" s="7" t="s">
        <v>134</v>
      </c>
      <c r="H16" s="7" t="n">
        <v>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4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8"/>
    <col collapsed="false" customWidth="true" hidden="false" outlineLevel="0" max="2" min="2" style="0" width="22"/>
    <col collapsed="false" customWidth="true" hidden="false" outlineLevel="0" max="3" min="3" style="0" width="36"/>
    <col collapsed="false" customWidth="true" hidden="false" outlineLevel="0" max="4" min="4" style="0" width="22"/>
    <col collapsed="false" customWidth="true" hidden="false" outlineLevel="0" max="5" min="5" style="0" width="10"/>
    <col collapsed="false" customWidth="true" hidden="false" outlineLevel="0" max="6" min="6" style="0" width="8"/>
    <col collapsed="false" customWidth="true" hidden="false" outlineLevel="0" max="7" min="7" style="0" width="14"/>
    <col collapsed="false" customWidth="true" hidden="false" outlineLevel="0" max="8" min="8" style="0" width="26"/>
    <col collapsed="false" customWidth="true" hidden="false" outlineLevel="0" max="9" min="9" style="0" width="18"/>
    <col collapsed="false" customWidth="true" hidden="false" outlineLevel="0" max="10" min="10" style="0" width="16"/>
    <col collapsed="false" customWidth="true" hidden="false" outlineLevel="0" max="11" min="11" style="0" width="14"/>
    <col collapsed="false" customWidth="true" hidden="false" outlineLevel="0" max="12" min="12" style="0" width="16"/>
    <col collapsed="false" customWidth="true" hidden="false" outlineLevel="0" max="14" min="13" style="0" width="14"/>
  </cols>
  <sheetData>
    <row r="1" customFormat="false" ht="15" hidden="false" customHeight="false" outlineLevel="0" collapsed="false">
      <c r="A1" s="1" t="s">
        <v>135</v>
      </c>
    </row>
    <row r="2" customFormat="false" ht="19.7" hidden="false" customHeight="false" outlineLevel="0" collapsed="false">
      <c r="A2" s="2" t="s">
        <v>136</v>
      </c>
    </row>
    <row r="4" customFormat="false" ht="21.75" hidden="false" customHeight="true" outlineLevel="0" collapsed="false">
      <c r="A4" s="5" t="s">
        <v>70</v>
      </c>
      <c r="B4" s="5" t="s">
        <v>137</v>
      </c>
      <c r="C4" s="5" t="s">
        <v>138</v>
      </c>
      <c r="D4" s="5" t="s">
        <v>139</v>
      </c>
      <c r="E4" s="5" t="s">
        <v>140</v>
      </c>
      <c r="F4" s="5" t="s">
        <v>141</v>
      </c>
      <c r="G4" s="5" t="s">
        <v>142</v>
      </c>
      <c r="H4" s="5" t="s">
        <v>143</v>
      </c>
      <c r="I4" s="5" t="s">
        <v>144</v>
      </c>
      <c r="J4" s="5" t="s">
        <v>145</v>
      </c>
      <c r="K4" s="5" t="s">
        <v>146</v>
      </c>
      <c r="L4" s="5" t="s">
        <v>147</v>
      </c>
      <c r="M4" s="5" t="s">
        <v>148</v>
      </c>
      <c r="N4" s="5" t="s">
        <v>149</v>
      </c>
    </row>
    <row r="5" customFormat="false" ht="15" hidden="false" customHeight="false" outlineLevel="0" collapsed="false">
      <c r="A5" s="6" t="s">
        <v>78</v>
      </c>
      <c r="B5" s="6" t="s">
        <v>150</v>
      </c>
      <c r="C5" s="6" t="s">
        <v>151</v>
      </c>
      <c r="D5" s="6" t="s">
        <v>152</v>
      </c>
      <c r="E5" s="6" t="n">
        <v>2</v>
      </c>
      <c r="F5" s="6" t="s">
        <v>153</v>
      </c>
      <c r="G5" s="6" t="n">
        <v>920000</v>
      </c>
      <c r="H5" s="6" t="s">
        <v>154</v>
      </c>
      <c r="I5" s="6" t="s">
        <v>155</v>
      </c>
      <c r="J5" s="6" t="s">
        <v>156</v>
      </c>
      <c r="K5" s="6" t="n">
        <v>240</v>
      </c>
      <c r="L5" s="6" t="s">
        <v>157</v>
      </c>
      <c r="M5" s="6" t="s">
        <v>158</v>
      </c>
      <c r="N5" s="6" t="s">
        <v>159</v>
      </c>
    </row>
    <row r="6" customFormat="false" ht="15" hidden="false" customHeight="false" outlineLevel="0" collapsed="false">
      <c r="A6" s="7" t="s">
        <v>78</v>
      </c>
      <c r="B6" s="7" t="s">
        <v>160</v>
      </c>
      <c r="C6" s="7" t="s">
        <v>161</v>
      </c>
      <c r="D6" s="7" t="s">
        <v>162</v>
      </c>
      <c r="E6" s="7" t="n">
        <v>1</v>
      </c>
      <c r="F6" s="7" t="s">
        <v>153</v>
      </c>
      <c r="G6" s="7" t="n">
        <v>380000</v>
      </c>
      <c r="H6" s="7" t="s">
        <v>163</v>
      </c>
      <c r="I6" s="7" t="s">
        <v>155</v>
      </c>
      <c r="J6" s="7"/>
      <c r="K6" s="7" t="n">
        <v>180</v>
      </c>
      <c r="L6" s="7" t="s">
        <v>164</v>
      </c>
      <c r="M6" s="7" t="s">
        <v>158</v>
      </c>
      <c r="N6" s="7" t="s">
        <v>159</v>
      </c>
    </row>
    <row r="7" customFormat="false" ht="15" hidden="false" customHeight="false" outlineLevel="0" collapsed="false">
      <c r="A7" s="6" t="s">
        <v>78</v>
      </c>
      <c r="B7" s="6" t="s">
        <v>165</v>
      </c>
      <c r="C7" s="6" t="s">
        <v>166</v>
      </c>
      <c r="D7" s="6" t="s">
        <v>162</v>
      </c>
      <c r="E7" s="6" t="n">
        <v>8</v>
      </c>
      <c r="F7" s="6" t="s">
        <v>153</v>
      </c>
      <c r="G7" s="6" t="n">
        <v>220000</v>
      </c>
      <c r="H7" s="6"/>
      <c r="I7" s="6"/>
      <c r="J7" s="6"/>
      <c r="K7" s="6" t="n">
        <v>270</v>
      </c>
      <c r="L7" s="6" t="s">
        <v>167</v>
      </c>
      <c r="M7" s="6" t="s">
        <v>168</v>
      </c>
      <c r="N7" s="6" t="s">
        <v>169</v>
      </c>
    </row>
    <row r="8" customFormat="false" ht="15" hidden="false" customHeight="false" outlineLevel="0" collapsed="false">
      <c r="A8" s="7" t="s">
        <v>78</v>
      </c>
      <c r="B8" s="7" t="s">
        <v>170</v>
      </c>
      <c r="C8" s="7" t="s">
        <v>171</v>
      </c>
      <c r="D8" s="7" t="s">
        <v>172</v>
      </c>
      <c r="E8" s="7" t="n">
        <v>4</v>
      </c>
      <c r="F8" s="7" t="s">
        <v>153</v>
      </c>
      <c r="G8" s="7" t="n">
        <v>1100000</v>
      </c>
      <c r="H8" s="7" t="s">
        <v>154</v>
      </c>
      <c r="I8" s="7" t="s">
        <v>155</v>
      </c>
      <c r="J8" s="7"/>
      <c r="K8" s="7" t="n">
        <v>300</v>
      </c>
      <c r="L8" s="7" t="s">
        <v>173</v>
      </c>
      <c r="M8" s="7" t="s">
        <v>158</v>
      </c>
      <c r="N8" s="7" t="s">
        <v>159</v>
      </c>
    </row>
    <row r="9" customFormat="false" ht="15" hidden="false" customHeight="false" outlineLevel="0" collapsed="false">
      <c r="A9" s="6" t="s">
        <v>78</v>
      </c>
      <c r="B9" s="6" t="s">
        <v>174</v>
      </c>
      <c r="C9" s="6" t="s">
        <v>175</v>
      </c>
      <c r="D9" s="6" t="s">
        <v>172</v>
      </c>
      <c r="E9" s="6" t="n">
        <v>4</v>
      </c>
      <c r="F9" s="6" t="s">
        <v>153</v>
      </c>
      <c r="G9" s="6" t="n">
        <v>180000</v>
      </c>
      <c r="H9" s="6" t="s">
        <v>154</v>
      </c>
      <c r="I9" s="6"/>
      <c r="J9" s="6"/>
      <c r="K9" s="6" t="n">
        <v>210</v>
      </c>
      <c r="L9" s="6" t="s">
        <v>164</v>
      </c>
      <c r="M9" s="6" t="s">
        <v>158</v>
      </c>
      <c r="N9" s="6" t="s">
        <v>169</v>
      </c>
    </row>
    <row r="10" customFormat="false" ht="15" hidden="false" customHeight="false" outlineLevel="0" collapsed="false">
      <c r="A10" s="7" t="s">
        <v>78</v>
      </c>
      <c r="B10" s="7" t="s">
        <v>176</v>
      </c>
      <c r="C10" s="7" t="s">
        <v>177</v>
      </c>
      <c r="D10" s="7" t="s">
        <v>178</v>
      </c>
      <c r="E10" s="7" t="n">
        <v>320</v>
      </c>
      <c r="F10" s="7" t="s">
        <v>179</v>
      </c>
      <c r="G10" s="7" t="n">
        <v>1200</v>
      </c>
      <c r="H10" s="7" t="s">
        <v>180</v>
      </c>
      <c r="I10" s="7"/>
      <c r="J10" s="7"/>
      <c r="K10" s="7" t="n">
        <v>90</v>
      </c>
      <c r="L10" s="7" t="s">
        <v>181</v>
      </c>
      <c r="M10" s="7" t="s">
        <v>158</v>
      </c>
      <c r="N10" s="7" t="s">
        <v>169</v>
      </c>
    </row>
    <row r="11" customFormat="false" ht="15" hidden="false" customHeight="false" outlineLevel="0" collapsed="false">
      <c r="A11" s="6" t="s">
        <v>78</v>
      </c>
      <c r="B11" s="6" t="s">
        <v>182</v>
      </c>
      <c r="C11" s="6" t="s">
        <v>183</v>
      </c>
      <c r="D11" s="6" t="s">
        <v>184</v>
      </c>
      <c r="E11" s="6" t="n">
        <v>12</v>
      </c>
      <c r="F11" s="6" t="s">
        <v>153</v>
      </c>
      <c r="G11" s="6" t="n">
        <v>6800</v>
      </c>
      <c r="H11" s="6" t="s">
        <v>163</v>
      </c>
      <c r="I11" s="6" t="s">
        <v>185</v>
      </c>
      <c r="J11" s="6"/>
      <c r="K11" s="6" t="n">
        <v>120</v>
      </c>
      <c r="L11" s="6" t="s">
        <v>186</v>
      </c>
      <c r="M11" s="6" t="s">
        <v>158</v>
      </c>
      <c r="N11" s="6" t="s">
        <v>159</v>
      </c>
    </row>
    <row r="12" customFormat="false" ht="15" hidden="false" customHeight="false" outlineLevel="0" collapsed="false">
      <c r="A12" s="7" t="s">
        <v>78</v>
      </c>
      <c r="B12" s="7" t="s">
        <v>187</v>
      </c>
      <c r="C12" s="7" t="s">
        <v>188</v>
      </c>
      <c r="D12" s="7" t="s">
        <v>184</v>
      </c>
      <c r="E12" s="7" t="n">
        <v>24</v>
      </c>
      <c r="F12" s="7" t="s">
        <v>153</v>
      </c>
      <c r="G12" s="7" t="n">
        <v>2400</v>
      </c>
      <c r="H12" s="7" t="s">
        <v>163</v>
      </c>
      <c r="I12" s="7"/>
      <c r="J12" s="7"/>
      <c r="K12" s="7" t="n">
        <v>90</v>
      </c>
      <c r="L12" s="7" t="s">
        <v>189</v>
      </c>
      <c r="M12" s="7" t="s">
        <v>158</v>
      </c>
      <c r="N12" s="7" t="s">
        <v>169</v>
      </c>
    </row>
    <row r="13" customFormat="false" ht="15" hidden="false" customHeight="false" outlineLevel="0" collapsed="false">
      <c r="A13" s="6" t="s">
        <v>78</v>
      </c>
      <c r="B13" s="6" t="s">
        <v>190</v>
      </c>
      <c r="C13" s="6" t="s">
        <v>191</v>
      </c>
      <c r="D13" s="6" t="s">
        <v>192</v>
      </c>
      <c r="E13" s="6" t="n">
        <v>36</v>
      </c>
      <c r="F13" s="6" t="s">
        <v>153</v>
      </c>
      <c r="G13" s="6" t="n">
        <v>1800</v>
      </c>
      <c r="H13" s="6" t="s">
        <v>193</v>
      </c>
      <c r="I13" s="6"/>
      <c r="J13" s="6"/>
      <c r="K13" s="6" t="n">
        <v>75</v>
      </c>
      <c r="L13" s="6" t="s">
        <v>194</v>
      </c>
      <c r="M13" s="6" t="s">
        <v>195</v>
      </c>
      <c r="N13" s="6" t="s">
        <v>169</v>
      </c>
    </row>
    <row r="14" customFormat="false" ht="15" hidden="false" customHeight="false" outlineLevel="0" collapsed="false">
      <c r="A14" s="7" t="s">
        <v>78</v>
      </c>
      <c r="B14" s="7" t="s">
        <v>196</v>
      </c>
      <c r="C14" s="7" t="s">
        <v>197</v>
      </c>
      <c r="D14" s="7" t="s">
        <v>162</v>
      </c>
      <c r="E14" s="7" t="n">
        <v>16</v>
      </c>
      <c r="F14" s="7" t="s">
        <v>153</v>
      </c>
      <c r="G14" s="7" t="n">
        <v>14000</v>
      </c>
      <c r="H14" s="7"/>
      <c r="I14" s="7"/>
      <c r="J14" s="7"/>
      <c r="K14" s="7" t="n">
        <v>150</v>
      </c>
      <c r="L14" s="7" t="s">
        <v>157</v>
      </c>
      <c r="M14" s="7" t="s">
        <v>158</v>
      </c>
      <c r="N14" s="7" t="s">
        <v>169</v>
      </c>
    </row>
    <row r="15" customFormat="false" ht="15" hidden="false" customHeight="false" outlineLevel="0" collapsed="false">
      <c r="A15" s="6" t="s">
        <v>78</v>
      </c>
      <c r="B15" s="6" t="s">
        <v>198</v>
      </c>
      <c r="C15" s="6" t="s">
        <v>199</v>
      </c>
      <c r="D15" s="6" t="s">
        <v>200</v>
      </c>
      <c r="E15" s="6" t="n">
        <v>6</v>
      </c>
      <c r="F15" s="6" t="s">
        <v>153</v>
      </c>
      <c r="G15" s="6" t="n">
        <v>95000</v>
      </c>
      <c r="H15" s="6" t="s">
        <v>201</v>
      </c>
      <c r="I15" s="6" t="s">
        <v>155</v>
      </c>
      <c r="J15" s="6"/>
      <c r="K15" s="6" t="n">
        <v>180</v>
      </c>
      <c r="L15" s="6" t="s">
        <v>202</v>
      </c>
      <c r="M15" s="6" t="s">
        <v>158</v>
      </c>
      <c r="N15" s="6" t="s">
        <v>159</v>
      </c>
    </row>
    <row r="16" customFormat="false" ht="15" hidden="false" customHeight="false" outlineLevel="0" collapsed="false">
      <c r="A16" s="7" t="s">
        <v>78</v>
      </c>
      <c r="B16" s="7" t="s">
        <v>203</v>
      </c>
      <c r="C16" s="7" t="s">
        <v>204</v>
      </c>
      <c r="D16" s="7" t="s">
        <v>200</v>
      </c>
      <c r="E16" s="7" t="n">
        <v>24</v>
      </c>
      <c r="F16" s="7" t="s">
        <v>153</v>
      </c>
      <c r="G16" s="7" t="n">
        <v>4200</v>
      </c>
      <c r="H16" s="7" t="s">
        <v>201</v>
      </c>
      <c r="I16" s="7"/>
      <c r="J16" s="7"/>
      <c r="K16" s="7" t="n">
        <v>90</v>
      </c>
      <c r="L16" s="7" t="s">
        <v>189</v>
      </c>
      <c r="M16" s="7" t="s">
        <v>158</v>
      </c>
      <c r="N16" s="7" t="s">
        <v>169</v>
      </c>
    </row>
    <row r="17" customFormat="false" ht="15" hidden="false" customHeight="false" outlineLevel="0" collapsed="false">
      <c r="A17" s="6" t="s">
        <v>78</v>
      </c>
      <c r="B17" s="6" t="s">
        <v>205</v>
      </c>
      <c r="C17" s="6" t="s">
        <v>206</v>
      </c>
      <c r="D17" s="6" t="s">
        <v>152</v>
      </c>
      <c r="E17" s="6" t="n">
        <v>6</v>
      </c>
      <c r="F17" s="6" t="s">
        <v>153</v>
      </c>
      <c r="G17" s="6" t="n">
        <v>165000</v>
      </c>
      <c r="H17" s="6" t="s">
        <v>154</v>
      </c>
      <c r="I17" s="6"/>
      <c r="J17" s="6"/>
      <c r="K17" s="6" t="n">
        <v>180</v>
      </c>
      <c r="L17" s="6" t="s">
        <v>164</v>
      </c>
      <c r="M17" s="6" t="s">
        <v>158</v>
      </c>
      <c r="N17" s="6" t="s">
        <v>169</v>
      </c>
    </row>
    <row r="18" customFormat="false" ht="15" hidden="false" customHeight="false" outlineLevel="0" collapsed="false">
      <c r="A18" s="7" t="s">
        <v>78</v>
      </c>
      <c r="B18" s="7" t="s">
        <v>207</v>
      </c>
      <c r="C18" s="7" t="s">
        <v>208</v>
      </c>
      <c r="D18" s="7" t="s">
        <v>192</v>
      </c>
      <c r="E18" s="7" t="n">
        <v>8</v>
      </c>
      <c r="F18" s="7" t="s">
        <v>153</v>
      </c>
      <c r="G18" s="7" t="n">
        <v>8400</v>
      </c>
      <c r="H18" s="7" t="s">
        <v>201</v>
      </c>
      <c r="I18" s="7"/>
      <c r="J18" s="7"/>
      <c r="K18" s="7" t="n">
        <v>60</v>
      </c>
      <c r="L18" s="7" t="s">
        <v>209</v>
      </c>
      <c r="M18" s="7" t="s">
        <v>195</v>
      </c>
      <c r="N18" s="7" t="s">
        <v>169</v>
      </c>
    </row>
    <row r="19" customFormat="false" ht="15" hidden="false" customHeight="false" outlineLevel="0" collapsed="false">
      <c r="A19" s="6" t="s">
        <v>78</v>
      </c>
      <c r="B19" s="6" t="s">
        <v>210</v>
      </c>
      <c r="C19" s="6" t="s">
        <v>211</v>
      </c>
      <c r="D19" s="6" t="s">
        <v>212</v>
      </c>
      <c r="E19" s="6" t="n">
        <v>18</v>
      </c>
      <c r="F19" s="6" t="s">
        <v>213</v>
      </c>
      <c r="G19" s="6" t="n">
        <v>92000</v>
      </c>
      <c r="H19" s="6" t="s">
        <v>180</v>
      </c>
      <c r="I19" s="6"/>
      <c r="J19" s="6"/>
      <c r="K19" s="6" t="n">
        <v>75</v>
      </c>
      <c r="L19" s="6" t="s">
        <v>189</v>
      </c>
      <c r="M19" s="6" t="s">
        <v>158</v>
      </c>
      <c r="N19" s="6" t="s">
        <v>169</v>
      </c>
    </row>
    <row r="20" customFormat="false" ht="15" hidden="false" customHeight="false" outlineLevel="0" collapsed="false">
      <c r="A20" s="7" t="s">
        <v>78</v>
      </c>
      <c r="B20" s="7" t="s">
        <v>214</v>
      </c>
      <c r="C20" s="7" t="s">
        <v>215</v>
      </c>
      <c r="D20" s="7" t="s">
        <v>212</v>
      </c>
      <c r="E20" s="7" t="n">
        <v>42</v>
      </c>
      <c r="F20" s="7" t="s">
        <v>213</v>
      </c>
      <c r="G20" s="7" t="n">
        <v>6800</v>
      </c>
      <c r="H20" s="7" t="s">
        <v>180</v>
      </c>
      <c r="I20" s="7"/>
      <c r="J20" s="7"/>
      <c r="K20" s="7" t="n">
        <v>60</v>
      </c>
      <c r="L20" s="7" t="s">
        <v>186</v>
      </c>
      <c r="M20" s="7" t="s">
        <v>158</v>
      </c>
      <c r="N20" s="7" t="s">
        <v>169</v>
      </c>
    </row>
    <row r="21" customFormat="false" ht="15" hidden="false" customHeight="false" outlineLevel="0" collapsed="false">
      <c r="A21" s="6" t="s">
        <v>78</v>
      </c>
      <c r="B21" s="6" t="s">
        <v>216</v>
      </c>
      <c r="C21" s="6" t="s">
        <v>217</v>
      </c>
      <c r="D21" s="6" t="s">
        <v>200</v>
      </c>
      <c r="E21" s="6" t="n">
        <v>8400</v>
      </c>
      <c r="F21" s="6" t="s">
        <v>179</v>
      </c>
      <c r="G21" s="6" t="n">
        <v>22</v>
      </c>
      <c r="H21" s="6" t="s">
        <v>218</v>
      </c>
      <c r="I21" s="6"/>
      <c r="J21" s="6"/>
      <c r="K21" s="6" t="n">
        <v>30</v>
      </c>
      <c r="L21" s="6" t="s">
        <v>219</v>
      </c>
      <c r="M21" s="6" t="s">
        <v>195</v>
      </c>
      <c r="N21" s="6" t="s">
        <v>169</v>
      </c>
    </row>
    <row r="22" customFormat="false" ht="15" hidden="false" customHeight="false" outlineLevel="0" collapsed="false">
      <c r="A22" s="7" t="s">
        <v>78</v>
      </c>
      <c r="B22" s="7" t="s">
        <v>220</v>
      </c>
      <c r="C22" s="7" t="s">
        <v>221</v>
      </c>
      <c r="D22" s="7" t="s">
        <v>200</v>
      </c>
      <c r="E22" s="7" t="n">
        <v>2200</v>
      </c>
      <c r="F22" s="7" t="s">
        <v>179</v>
      </c>
      <c r="G22" s="7" t="n">
        <v>86</v>
      </c>
      <c r="H22" s="7" t="s">
        <v>218</v>
      </c>
      <c r="I22" s="7"/>
      <c r="J22" s="7"/>
      <c r="K22" s="7" t="n">
        <v>30</v>
      </c>
      <c r="L22" s="7" t="s">
        <v>219</v>
      </c>
      <c r="M22" s="7" t="s">
        <v>195</v>
      </c>
      <c r="N22" s="7" t="s">
        <v>169</v>
      </c>
    </row>
    <row r="23" customFormat="false" ht="15" hidden="false" customHeight="false" outlineLevel="0" collapsed="false">
      <c r="A23" s="6" t="s">
        <v>78</v>
      </c>
      <c r="B23" s="6" t="s">
        <v>222</v>
      </c>
      <c r="C23" s="6" t="s">
        <v>223</v>
      </c>
      <c r="D23" s="6" t="s">
        <v>224</v>
      </c>
      <c r="E23" s="6" t="n">
        <v>240</v>
      </c>
      <c r="F23" s="6" t="s">
        <v>153</v>
      </c>
      <c r="G23" s="6" t="n">
        <v>1100</v>
      </c>
      <c r="H23" s="6" t="s">
        <v>193</v>
      </c>
      <c r="I23" s="6"/>
      <c r="J23" s="6"/>
      <c r="K23" s="6" t="n">
        <v>75</v>
      </c>
      <c r="L23" s="6" t="s">
        <v>209</v>
      </c>
      <c r="M23" s="6" t="s">
        <v>195</v>
      </c>
      <c r="N23" s="6" t="s">
        <v>169</v>
      </c>
    </row>
    <row r="24" customFormat="false" ht="15" hidden="false" customHeight="false" outlineLevel="0" collapsed="false">
      <c r="A24" s="7" t="s">
        <v>78</v>
      </c>
      <c r="B24" s="7" t="s">
        <v>225</v>
      </c>
      <c r="C24" s="7" t="s">
        <v>226</v>
      </c>
      <c r="D24" s="7" t="s">
        <v>224</v>
      </c>
      <c r="E24" s="7" t="n">
        <v>380</v>
      </c>
      <c r="F24" s="7" t="s">
        <v>153</v>
      </c>
      <c r="G24" s="7" t="n">
        <v>240</v>
      </c>
      <c r="H24" s="7" t="s">
        <v>193</v>
      </c>
      <c r="I24" s="7"/>
      <c r="J24" s="7"/>
      <c r="K24" s="7" t="n">
        <v>60</v>
      </c>
      <c r="L24" s="7" t="s">
        <v>227</v>
      </c>
      <c r="M24" s="7" t="s">
        <v>195</v>
      </c>
      <c r="N24" s="7" t="s">
        <v>169</v>
      </c>
    </row>
    <row r="25" customFormat="false" ht="15" hidden="false" customHeight="false" outlineLevel="0" collapsed="false">
      <c r="A25" s="6" t="s">
        <v>78</v>
      </c>
      <c r="B25" s="6" t="s">
        <v>228</v>
      </c>
      <c r="C25" s="6" t="s">
        <v>229</v>
      </c>
      <c r="D25" s="6" t="s">
        <v>224</v>
      </c>
      <c r="E25" s="6" t="n">
        <v>64</v>
      </c>
      <c r="F25" s="6" t="s">
        <v>153</v>
      </c>
      <c r="G25" s="6" t="n">
        <v>4800</v>
      </c>
      <c r="H25" s="6" t="s">
        <v>193</v>
      </c>
      <c r="I25" s="6"/>
      <c r="J25" s="6"/>
      <c r="K25" s="6" t="n">
        <v>75</v>
      </c>
      <c r="L25" s="6" t="s">
        <v>194</v>
      </c>
      <c r="M25" s="6" t="s">
        <v>195</v>
      </c>
      <c r="N25" s="6" t="s">
        <v>169</v>
      </c>
    </row>
    <row r="26" customFormat="false" ht="15" hidden="false" customHeight="false" outlineLevel="0" collapsed="false">
      <c r="A26" s="7" t="s">
        <v>78</v>
      </c>
      <c r="B26" s="7" t="s">
        <v>230</v>
      </c>
      <c r="C26" s="7" t="s">
        <v>231</v>
      </c>
      <c r="D26" s="7" t="s">
        <v>184</v>
      </c>
      <c r="E26" s="7" t="n">
        <v>480</v>
      </c>
      <c r="F26" s="7" t="s">
        <v>153</v>
      </c>
      <c r="G26" s="7" t="n">
        <v>320</v>
      </c>
      <c r="H26" s="7" t="s">
        <v>163</v>
      </c>
      <c r="I26" s="7"/>
      <c r="J26" s="7"/>
      <c r="K26" s="7" t="n">
        <v>60</v>
      </c>
      <c r="L26" s="7" t="s">
        <v>232</v>
      </c>
      <c r="M26" s="7" t="s">
        <v>195</v>
      </c>
      <c r="N26" s="7" t="s">
        <v>169</v>
      </c>
    </row>
    <row r="27" customFormat="false" ht="15" hidden="false" customHeight="false" outlineLevel="0" collapsed="false">
      <c r="A27" s="6" t="s">
        <v>78</v>
      </c>
      <c r="B27" s="6" t="s">
        <v>233</v>
      </c>
      <c r="C27" s="6" t="s">
        <v>234</v>
      </c>
      <c r="D27" s="6" t="s">
        <v>184</v>
      </c>
      <c r="E27" s="6" t="n">
        <v>36</v>
      </c>
      <c r="F27" s="6" t="s">
        <v>153</v>
      </c>
      <c r="G27" s="6" t="n">
        <v>4800</v>
      </c>
      <c r="H27" s="6"/>
      <c r="I27" s="6"/>
      <c r="J27" s="6"/>
      <c r="K27" s="6" t="n">
        <v>120</v>
      </c>
      <c r="L27" s="6" t="s">
        <v>181</v>
      </c>
      <c r="M27" s="6" t="s">
        <v>158</v>
      </c>
      <c r="N27" s="6" t="s">
        <v>169</v>
      </c>
    </row>
    <row r="28" customFormat="false" ht="15" hidden="false" customHeight="false" outlineLevel="0" collapsed="false">
      <c r="A28" s="7" t="s">
        <v>78</v>
      </c>
      <c r="B28" s="7" t="s">
        <v>235</v>
      </c>
      <c r="C28" s="7" t="s">
        <v>236</v>
      </c>
      <c r="D28" s="7" t="s">
        <v>200</v>
      </c>
      <c r="E28" s="7" t="n">
        <v>4</v>
      </c>
      <c r="F28" s="7" t="s">
        <v>153</v>
      </c>
      <c r="G28" s="7" t="n">
        <v>78000</v>
      </c>
      <c r="H28" s="7" t="s">
        <v>201</v>
      </c>
      <c r="I28" s="7"/>
      <c r="J28" s="7"/>
      <c r="K28" s="7" t="n">
        <v>90</v>
      </c>
      <c r="L28" s="7" t="s">
        <v>189</v>
      </c>
      <c r="M28" s="7" t="s">
        <v>158</v>
      </c>
      <c r="N28" s="7" t="s">
        <v>169</v>
      </c>
    </row>
    <row r="29" customFormat="false" ht="15" hidden="false" customHeight="false" outlineLevel="0" collapsed="false">
      <c r="A29" s="6" t="s">
        <v>78</v>
      </c>
      <c r="B29" s="6" t="s">
        <v>237</v>
      </c>
      <c r="C29" s="6" t="s">
        <v>238</v>
      </c>
      <c r="D29" s="6" t="s">
        <v>200</v>
      </c>
      <c r="E29" s="6" t="n">
        <v>6</v>
      </c>
      <c r="F29" s="6" t="s">
        <v>153</v>
      </c>
      <c r="G29" s="6" t="n">
        <v>14000</v>
      </c>
      <c r="H29" s="6" t="s">
        <v>201</v>
      </c>
      <c r="I29" s="6"/>
      <c r="J29" s="6"/>
      <c r="K29" s="6" t="n">
        <v>60</v>
      </c>
      <c r="L29" s="6" t="s">
        <v>232</v>
      </c>
      <c r="M29" s="6" t="s">
        <v>158</v>
      </c>
      <c r="N29" s="6" t="s">
        <v>169</v>
      </c>
    </row>
    <row r="30" customFormat="false" ht="15" hidden="false" customHeight="false" outlineLevel="0" collapsed="false">
      <c r="A30" s="7" t="s">
        <v>78</v>
      </c>
      <c r="B30" s="7" t="s">
        <v>239</v>
      </c>
      <c r="C30" s="7" t="s">
        <v>240</v>
      </c>
      <c r="D30" s="7" t="s">
        <v>241</v>
      </c>
      <c r="E30" s="7" t="n">
        <v>18</v>
      </c>
      <c r="F30" s="7" t="s">
        <v>153</v>
      </c>
      <c r="G30" s="7" t="n">
        <v>6200</v>
      </c>
      <c r="H30" s="7"/>
      <c r="I30" s="7"/>
      <c r="J30" s="7"/>
      <c r="K30" s="7" t="n">
        <v>90</v>
      </c>
      <c r="L30" s="7" t="s">
        <v>181</v>
      </c>
      <c r="M30" s="7" t="s">
        <v>158</v>
      </c>
      <c r="N30" s="7" t="s">
        <v>169</v>
      </c>
    </row>
    <row r="31" customFormat="false" ht="15" hidden="false" customHeight="false" outlineLevel="0" collapsed="false">
      <c r="A31" s="6" t="s">
        <v>78</v>
      </c>
      <c r="B31" s="6" t="s">
        <v>242</v>
      </c>
      <c r="C31" s="6" t="s">
        <v>243</v>
      </c>
      <c r="D31" s="6" t="s">
        <v>241</v>
      </c>
      <c r="E31" s="6" t="n">
        <v>24</v>
      </c>
      <c r="F31" s="6" t="s">
        <v>153</v>
      </c>
      <c r="G31" s="6" t="n">
        <v>980</v>
      </c>
      <c r="H31" s="6"/>
      <c r="I31" s="6"/>
      <c r="J31" s="6"/>
      <c r="K31" s="6" t="n">
        <v>45</v>
      </c>
      <c r="L31" s="6" t="s">
        <v>232</v>
      </c>
      <c r="M31" s="6" t="s">
        <v>158</v>
      </c>
      <c r="N31" s="6" t="s">
        <v>169</v>
      </c>
    </row>
    <row r="32" customFormat="false" ht="15" hidden="false" customHeight="false" outlineLevel="0" collapsed="false">
      <c r="A32" s="7" t="s">
        <v>78</v>
      </c>
      <c r="B32" s="7" t="s">
        <v>244</v>
      </c>
      <c r="C32" s="7" t="s">
        <v>245</v>
      </c>
      <c r="D32" s="7" t="s">
        <v>178</v>
      </c>
      <c r="E32" s="7" t="n">
        <v>1800</v>
      </c>
      <c r="F32" s="7" t="s">
        <v>179</v>
      </c>
      <c r="G32" s="7" t="n">
        <v>320</v>
      </c>
      <c r="H32" s="7" t="s">
        <v>180</v>
      </c>
      <c r="I32" s="7"/>
      <c r="J32" s="7"/>
      <c r="K32" s="7" t="n">
        <v>75</v>
      </c>
      <c r="L32" s="7" t="s">
        <v>189</v>
      </c>
      <c r="M32" s="7" t="s">
        <v>158</v>
      </c>
      <c r="N32" s="7" t="s">
        <v>169</v>
      </c>
    </row>
    <row r="33" customFormat="false" ht="15" hidden="false" customHeight="false" outlineLevel="0" collapsed="false">
      <c r="A33" s="6" t="s">
        <v>78</v>
      </c>
      <c r="B33" s="6" t="s">
        <v>246</v>
      </c>
      <c r="C33" s="6" t="s">
        <v>247</v>
      </c>
      <c r="D33" s="6" t="s">
        <v>178</v>
      </c>
      <c r="E33" s="6" t="n">
        <v>420</v>
      </c>
      <c r="F33" s="6" t="s">
        <v>179</v>
      </c>
      <c r="G33" s="6" t="n">
        <v>980</v>
      </c>
      <c r="H33" s="6" t="s">
        <v>180</v>
      </c>
      <c r="I33" s="6"/>
      <c r="J33" s="6"/>
      <c r="K33" s="6" t="n">
        <v>90</v>
      </c>
      <c r="L33" s="6" t="s">
        <v>189</v>
      </c>
      <c r="M33" s="6" t="s">
        <v>158</v>
      </c>
      <c r="N33" s="6" t="s">
        <v>169</v>
      </c>
    </row>
    <row r="34" customFormat="false" ht="15" hidden="false" customHeight="false" outlineLevel="0" collapsed="false">
      <c r="A34" s="7" t="s">
        <v>78</v>
      </c>
      <c r="B34" s="7" t="s">
        <v>248</v>
      </c>
      <c r="C34" s="7" t="s">
        <v>249</v>
      </c>
      <c r="D34" s="7" t="s">
        <v>250</v>
      </c>
      <c r="E34" s="7" t="n">
        <v>2</v>
      </c>
      <c r="F34" s="7" t="s">
        <v>153</v>
      </c>
      <c r="G34" s="7" t="n">
        <v>285000</v>
      </c>
      <c r="H34" s="7"/>
      <c r="I34" s="7"/>
      <c r="J34" s="7"/>
      <c r="K34" s="7" t="n">
        <v>240</v>
      </c>
      <c r="L34" s="7" t="s">
        <v>167</v>
      </c>
      <c r="M34" s="7" t="s">
        <v>168</v>
      </c>
      <c r="N34" s="7" t="s">
        <v>169</v>
      </c>
    </row>
    <row r="35" customFormat="false" ht="15" hidden="false" customHeight="false" outlineLevel="0" collapsed="false">
      <c r="A35" s="6" t="s">
        <v>78</v>
      </c>
      <c r="B35" s="6" t="s">
        <v>251</v>
      </c>
      <c r="C35" s="6" t="s">
        <v>252</v>
      </c>
      <c r="D35" s="6" t="s">
        <v>253</v>
      </c>
      <c r="E35" s="6" t="n">
        <v>6</v>
      </c>
      <c r="F35" s="6" t="s">
        <v>153</v>
      </c>
      <c r="G35" s="6" t="n">
        <v>64000</v>
      </c>
      <c r="H35" s="6"/>
      <c r="I35" s="6"/>
      <c r="J35" s="6"/>
      <c r="K35" s="6" t="n">
        <v>120</v>
      </c>
      <c r="L35" s="6" t="s">
        <v>164</v>
      </c>
      <c r="M35" s="6" t="s">
        <v>168</v>
      </c>
      <c r="N35" s="6" t="s">
        <v>169</v>
      </c>
    </row>
    <row r="36" customFormat="false" ht="15" hidden="false" customHeight="false" outlineLevel="0" collapsed="false">
      <c r="A36" s="7" t="s">
        <v>78</v>
      </c>
      <c r="B36" s="7" t="s">
        <v>254</v>
      </c>
      <c r="C36" s="7" t="s">
        <v>255</v>
      </c>
      <c r="D36" s="7" t="s">
        <v>256</v>
      </c>
      <c r="E36" s="7" t="n">
        <v>4</v>
      </c>
      <c r="F36" s="7" t="s">
        <v>153</v>
      </c>
      <c r="G36" s="7" t="n">
        <v>240000</v>
      </c>
      <c r="H36" s="7" t="s">
        <v>154</v>
      </c>
      <c r="I36" s="7"/>
      <c r="J36" s="7"/>
      <c r="K36" s="7" t="n">
        <v>180</v>
      </c>
      <c r="L36" s="7" t="s">
        <v>164</v>
      </c>
      <c r="M36" s="7" t="s">
        <v>158</v>
      </c>
      <c r="N36" s="7" t="s">
        <v>169</v>
      </c>
    </row>
    <row r="37" customFormat="false" ht="15" hidden="false" customHeight="false" outlineLevel="0" collapsed="false">
      <c r="A37" s="6" t="s">
        <v>78</v>
      </c>
      <c r="B37" s="6" t="s">
        <v>257</v>
      </c>
      <c r="C37" s="6" t="s">
        <v>258</v>
      </c>
      <c r="D37" s="6" t="s">
        <v>259</v>
      </c>
      <c r="E37" s="6" t="n">
        <v>2</v>
      </c>
      <c r="F37" s="6" t="s">
        <v>153</v>
      </c>
      <c r="G37" s="6" t="n">
        <v>96000</v>
      </c>
      <c r="H37" s="6"/>
      <c r="I37" s="6"/>
      <c r="J37" s="6"/>
      <c r="K37" s="6" t="n">
        <v>150</v>
      </c>
      <c r="L37" s="6" t="s">
        <v>202</v>
      </c>
      <c r="M37" s="6" t="s">
        <v>158</v>
      </c>
      <c r="N37" s="6" t="s">
        <v>169</v>
      </c>
    </row>
    <row r="38" customFormat="false" ht="15" hidden="false" customHeight="false" outlineLevel="0" collapsed="false">
      <c r="A38" s="7" t="s">
        <v>78</v>
      </c>
      <c r="B38" s="7" t="s">
        <v>260</v>
      </c>
      <c r="C38" s="7" t="s">
        <v>261</v>
      </c>
      <c r="D38" s="7" t="s">
        <v>262</v>
      </c>
      <c r="E38" s="7" t="n">
        <v>580</v>
      </c>
      <c r="F38" s="7" t="s">
        <v>263</v>
      </c>
      <c r="G38" s="7" t="n">
        <v>1850</v>
      </c>
      <c r="H38" s="7"/>
      <c r="I38" s="7"/>
      <c r="J38" s="7"/>
      <c r="K38" s="7" t="n">
        <v>60</v>
      </c>
      <c r="L38" s="7" t="s">
        <v>232</v>
      </c>
      <c r="M38" s="7" t="s">
        <v>158</v>
      </c>
      <c r="N38" s="7" t="s">
        <v>169</v>
      </c>
    </row>
    <row r="39" customFormat="false" ht="15" hidden="false" customHeight="false" outlineLevel="0" collapsed="false">
      <c r="A39" s="6" t="s">
        <v>78</v>
      </c>
      <c r="B39" s="6" t="s">
        <v>264</v>
      </c>
      <c r="C39" s="6" t="s">
        <v>265</v>
      </c>
      <c r="D39" s="6" t="s">
        <v>266</v>
      </c>
      <c r="E39" s="6" t="n">
        <v>1200</v>
      </c>
      <c r="F39" s="6" t="s">
        <v>263</v>
      </c>
      <c r="G39" s="6" t="n">
        <v>720</v>
      </c>
      <c r="H39" s="6"/>
      <c r="I39" s="6"/>
      <c r="J39" s="6"/>
      <c r="K39" s="6" t="n">
        <v>30</v>
      </c>
      <c r="L39" s="6" t="s">
        <v>219</v>
      </c>
      <c r="M39" s="6" t="s">
        <v>195</v>
      </c>
      <c r="N39" s="6" t="s">
        <v>169</v>
      </c>
    </row>
    <row r="40" customFormat="false" ht="15" hidden="false" customHeight="false" outlineLevel="0" collapsed="false">
      <c r="A40" s="7" t="s">
        <v>78</v>
      </c>
      <c r="B40" s="7" t="s">
        <v>267</v>
      </c>
      <c r="C40" s="7" t="s">
        <v>268</v>
      </c>
      <c r="D40" s="7" t="s">
        <v>200</v>
      </c>
      <c r="E40" s="7" t="n">
        <v>6800</v>
      </c>
      <c r="F40" s="7" t="s">
        <v>179</v>
      </c>
      <c r="G40" s="7" t="n">
        <v>28</v>
      </c>
      <c r="H40" s="7" t="s">
        <v>180</v>
      </c>
      <c r="I40" s="7"/>
      <c r="J40" s="7"/>
      <c r="K40" s="7" t="n">
        <v>45</v>
      </c>
      <c r="L40" s="7" t="s">
        <v>232</v>
      </c>
      <c r="M40" s="7" t="s">
        <v>195</v>
      </c>
      <c r="N40" s="7" t="s">
        <v>169</v>
      </c>
    </row>
    <row r="41" customFormat="false" ht="15" hidden="false" customHeight="false" outlineLevel="0" collapsed="false">
      <c r="A41" s="6" t="s">
        <v>78</v>
      </c>
      <c r="B41" s="6" t="s">
        <v>269</v>
      </c>
      <c r="C41" s="6" t="s">
        <v>270</v>
      </c>
      <c r="D41" s="6" t="s">
        <v>200</v>
      </c>
      <c r="E41" s="6" t="n">
        <v>480</v>
      </c>
      <c r="F41" s="6" t="s">
        <v>153</v>
      </c>
      <c r="G41" s="6" t="n">
        <v>280</v>
      </c>
      <c r="H41" s="6" t="s">
        <v>218</v>
      </c>
      <c r="I41" s="6"/>
      <c r="J41" s="6"/>
      <c r="K41" s="6" t="n">
        <v>30</v>
      </c>
      <c r="L41" s="6" t="s">
        <v>219</v>
      </c>
      <c r="M41" s="6" t="s">
        <v>195</v>
      </c>
      <c r="N41" s="6" t="s">
        <v>169</v>
      </c>
    </row>
    <row r="42" customFormat="false" ht="15" hidden="false" customHeight="false" outlineLevel="0" collapsed="false">
      <c r="A42" s="7" t="s">
        <v>78</v>
      </c>
      <c r="B42" s="7" t="s">
        <v>271</v>
      </c>
      <c r="C42" s="7" t="s">
        <v>272</v>
      </c>
      <c r="D42" s="7" t="s">
        <v>273</v>
      </c>
      <c r="E42" s="7" t="n">
        <v>14</v>
      </c>
      <c r="F42" s="7" t="s">
        <v>153</v>
      </c>
      <c r="G42" s="7" t="n">
        <v>4800</v>
      </c>
      <c r="H42" s="7"/>
      <c r="I42" s="7"/>
      <c r="J42" s="7"/>
      <c r="K42" s="7" t="n">
        <v>60</v>
      </c>
      <c r="L42" s="7" t="s">
        <v>209</v>
      </c>
      <c r="M42" s="7" t="s">
        <v>195</v>
      </c>
      <c r="N42" s="7" t="s">
        <v>169</v>
      </c>
    </row>
    <row r="44" customFormat="false" ht="15" hidden="false" customHeight="false" outlineLevel="0" collapsed="false">
      <c r="A44" s="3" t="s">
        <v>274</v>
      </c>
      <c r="E44" s="0" t="n">
        <f aca="false">COUNTA(B5:B42)</f>
        <v>38</v>
      </c>
      <c r="G44" s="8" t="n">
        <f aca="false">SUMPRODUCT(E5:E42,G5:G42)</f>
        <v>20898120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8"/>
    <col collapsed="false" customWidth="true" hidden="false" outlineLevel="0" max="2" min="2" style="0" width="22"/>
    <col collapsed="false" customWidth="true" hidden="false" outlineLevel="0" max="3" min="3" style="0" width="36"/>
    <col collapsed="false" customWidth="true" hidden="false" outlineLevel="0" max="4" min="4" style="0" width="22"/>
    <col collapsed="false" customWidth="true" hidden="false" outlineLevel="0" max="5" min="5" style="0" width="10"/>
    <col collapsed="false" customWidth="true" hidden="false" outlineLevel="0" max="6" min="6" style="0" width="8"/>
    <col collapsed="false" customWidth="true" hidden="false" outlineLevel="0" max="7" min="7" style="0" width="14"/>
    <col collapsed="false" customWidth="true" hidden="false" outlineLevel="0" max="8" min="8" style="0" width="26"/>
    <col collapsed="false" customWidth="true" hidden="false" outlineLevel="0" max="9" min="9" style="0" width="18"/>
    <col collapsed="false" customWidth="true" hidden="false" outlineLevel="0" max="10" min="10" style="0" width="16"/>
    <col collapsed="false" customWidth="true" hidden="false" outlineLevel="0" max="11" min="11" style="0" width="14"/>
    <col collapsed="false" customWidth="true" hidden="false" outlineLevel="0" max="12" min="12" style="0" width="16"/>
    <col collapsed="false" customWidth="true" hidden="false" outlineLevel="0" max="14" min="13" style="0" width="14"/>
  </cols>
  <sheetData>
    <row r="1" customFormat="false" ht="15" hidden="false" customHeight="false" outlineLevel="0" collapsed="false">
      <c r="A1" s="1" t="s">
        <v>135</v>
      </c>
    </row>
    <row r="2" customFormat="false" ht="19.7" hidden="false" customHeight="false" outlineLevel="0" collapsed="false">
      <c r="A2" s="2" t="s">
        <v>275</v>
      </c>
    </row>
    <row r="4" customFormat="false" ht="21.75" hidden="false" customHeight="true" outlineLevel="0" collapsed="false">
      <c r="A4" s="5" t="s">
        <v>70</v>
      </c>
      <c r="B4" s="5" t="s">
        <v>137</v>
      </c>
      <c r="C4" s="5" t="s">
        <v>138</v>
      </c>
      <c r="D4" s="5" t="s">
        <v>139</v>
      </c>
      <c r="E4" s="5" t="s">
        <v>140</v>
      </c>
      <c r="F4" s="5" t="s">
        <v>141</v>
      </c>
      <c r="G4" s="5" t="s">
        <v>142</v>
      </c>
      <c r="H4" s="5" t="s">
        <v>143</v>
      </c>
      <c r="I4" s="5" t="s">
        <v>144</v>
      </c>
      <c r="J4" s="5" t="s">
        <v>145</v>
      </c>
      <c r="K4" s="5" t="s">
        <v>146</v>
      </c>
      <c r="L4" s="5" t="s">
        <v>147</v>
      </c>
      <c r="M4" s="5" t="s">
        <v>148</v>
      </c>
      <c r="N4" s="5" t="s">
        <v>149</v>
      </c>
    </row>
    <row r="5" customFormat="false" ht="15" hidden="false" customHeight="false" outlineLevel="0" collapsed="false">
      <c r="A5" s="6" t="s">
        <v>97</v>
      </c>
      <c r="B5" s="6" t="s">
        <v>276</v>
      </c>
      <c r="C5" s="6" t="s">
        <v>277</v>
      </c>
      <c r="D5" s="6" t="s">
        <v>200</v>
      </c>
      <c r="E5" s="6" t="n">
        <v>4</v>
      </c>
      <c r="F5" s="6" t="s">
        <v>153</v>
      </c>
      <c r="G5" s="6" t="n">
        <v>880000</v>
      </c>
      <c r="H5" s="6" t="s">
        <v>201</v>
      </c>
      <c r="I5" s="6" t="s">
        <v>278</v>
      </c>
      <c r="J5" s="6" t="s">
        <v>279</v>
      </c>
      <c r="K5" s="6" t="n">
        <v>280</v>
      </c>
      <c r="L5" s="6" t="s">
        <v>157</v>
      </c>
      <c r="M5" s="6" t="s">
        <v>158</v>
      </c>
      <c r="N5" s="6" t="s">
        <v>159</v>
      </c>
    </row>
    <row r="6" customFormat="false" ht="15" hidden="false" customHeight="false" outlineLevel="0" collapsed="false">
      <c r="A6" s="7" t="s">
        <v>97</v>
      </c>
      <c r="B6" s="7" t="s">
        <v>280</v>
      </c>
      <c r="C6" s="7" t="s">
        <v>281</v>
      </c>
      <c r="D6" s="7" t="s">
        <v>200</v>
      </c>
      <c r="E6" s="7" t="n">
        <v>2</v>
      </c>
      <c r="F6" s="7" t="s">
        <v>153</v>
      </c>
      <c r="G6" s="7" t="n">
        <v>2400000</v>
      </c>
      <c r="H6" s="7"/>
      <c r="I6" s="7"/>
      <c r="J6" s="7"/>
      <c r="K6" s="7" t="n">
        <v>380</v>
      </c>
      <c r="L6" s="7" t="s">
        <v>167</v>
      </c>
      <c r="M6" s="7" t="s">
        <v>158</v>
      </c>
      <c r="N6" s="7" t="s">
        <v>169</v>
      </c>
    </row>
    <row r="7" customFormat="false" ht="15" hidden="false" customHeight="false" outlineLevel="0" collapsed="false">
      <c r="A7" s="6" t="s">
        <v>97</v>
      </c>
      <c r="B7" s="6" t="s">
        <v>282</v>
      </c>
      <c r="C7" s="6" t="s">
        <v>283</v>
      </c>
      <c r="D7" s="6" t="s">
        <v>200</v>
      </c>
      <c r="E7" s="6" t="n">
        <v>2</v>
      </c>
      <c r="F7" s="6" t="s">
        <v>153</v>
      </c>
      <c r="G7" s="6" t="n">
        <v>920000</v>
      </c>
      <c r="H7" s="6" t="s">
        <v>201</v>
      </c>
      <c r="I7" s="6"/>
      <c r="J7" s="6"/>
      <c r="K7" s="6" t="n">
        <v>300</v>
      </c>
      <c r="L7" s="6" t="s">
        <v>167</v>
      </c>
      <c r="M7" s="6" t="s">
        <v>158</v>
      </c>
      <c r="N7" s="6" t="s">
        <v>169</v>
      </c>
    </row>
    <row r="8" customFormat="false" ht="15" hidden="false" customHeight="false" outlineLevel="0" collapsed="false">
      <c r="A8" s="7" t="s">
        <v>97</v>
      </c>
      <c r="B8" s="7" t="s">
        <v>284</v>
      </c>
      <c r="C8" s="7" t="s">
        <v>285</v>
      </c>
      <c r="D8" s="7" t="s">
        <v>286</v>
      </c>
      <c r="E8" s="7" t="n">
        <v>12</v>
      </c>
      <c r="F8" s="7" t="s">
        <v>213</v>
      </c>
      <c r="G8" s="7" t="n">
        <v>480000</v>
      </c>
      <c r="H8" s="7" t="s">
        <v>287</v>
      </c>
      <c r="I8" s="7" t="s">
        <v>278</v>
      </c>
      <c r="J8" s="7"/>
      <c r="K8" s="7" t="n">
        <v>360</v>
      </c>
      <c r="L8" s="7" t="s">
        <v>288</v>
      </c>
      <c r="M8" s="7" t="s">
        <v>158</v>
      </c>
      <c r="N8" s="7" t="s">
        <v>159</v>
      </c>
    </row>
    <row r="9" customFormat="false" ht="15" hidden="false" customHeight="false" outlineLevel="0" collapsed="false">
      <c r="A9" s="6" t="s">
        <v>97</v>
      </c>
      <c r="B9" s="6" t="s">
        <v>289</v>
      </c>
      <c r="C9" s="6" t="s">
        <v>290</v>
      </c>
      <c r="D9" s="6" t="s">
        <v>291</v>
      </c>
      <c r="E9" s="6" t="n">
        <v>12</v>
      </c>
      <c r="F9" s="6" t="s">
        <v>153</v>
      </c>
      <c r="G9" s="6" t="n">
        <v>95000</v>
      </c>
      <c r="H9" s="6" t="s">
        <v>180</v>
      </c>
      <c r="I9" s="6"/>
      <c r="J9" s="6"/>
      <c r="K9" s="6" t="n">
        <v>90</v>
      </c>
      <c r="L9" s="6" t="s">
        <v>292</v>
      </c>
      <c r="M9" s="6" t="s">
        <v>158</v>
      </c>
      <c r="N9" s="6" t="s">
        <v>169</v>
      </c>
    </row>
    <row r="10" customFormat="false" ht="15" hidden="false" customHeight="false" outlineLevel="0" collapsed="false">
      <c r="A10" s="7" t="s">
        <v>97</v>
      </c>
      <c r="B10" s="7" t="s">
        <v>293</v>
      </c>
      <c r="C10" s="7" t="s">
        <v>294</v>
      </c>
      <c r="D10" s="7" t="s">
        <v>200</v>
      </c>
      <c r="E10" s="7" t="n">
        <v>12</v>
      </c>
      <c r="F10" s="7" t="s">
        <v>153</v>
      </c>
      <c r="G10" s="7" t="n">
        <v>38000</v>
      </c>
      <c r="H10" s="7" t="s">
        <v>201</v>
      </c>
      <c r="I10" s="7"/>
      <c r="J10" s="7"/>
      <c r="K10" s="7" t="n">
        <v>180</v>
      </c>
      <c r="L10" s="7" t="s">
        <v>202</v>
      </c>
      <c r="M10" s="7" t="s">
        <v>158</v>
      </c>
      <c r="N10" s="7" t="s">
        <v>169</v>
      </c>
    </row>
    <row r="11" customFormat="false" ht="15" hidden="false" customHeight="false" outlineLevel="0" collapsed="false">
      <c r="A11" s="6" t="s">
        <v>97</v>
      </c>
      <c r="B11" s="6" t="s">
        <v>295</v>
      </c>
      <c r="C11" s="6" t="s">
        <v>296</v>
      </c>
      <c r="D11" s="6" t="s">
        <v>200</v>
      </c>
      <c r="E11" s="6" t="n">
        <v>18</v>
      </c>
      <c r="F11" s="6" t="s">
        <v>153</v>
      </c>
      <c r="G11" s="6" t="n">
        <v>8400</v>
      </c>
      <c r="H11" s="6" t="s">
        <v>201</v>
      </c>
      <c r="I11" s="6"/>
      <c r="J11" s="6"/>
      <c r="K11" s="6" t="n">
        <v>90</v>
      </c>
      <c r="L11" s="6" t="s">
        <v>181</v>
      </c>
      <c r="M11" s="6" t="s">
        <v>158</v>
      </c>
      <c r="N11" s="6" t="s">
        <v>169</v>
      </c>
    </row>
    <row r="12" customFormat="false" ht="15" hidden="false" customHeight="false" outlineLevel="0" collapsed="false">
      <c r="A12" s="7" t="s">
        <v>97</v>
      </c>
      <c r="B12" s="7" t="s">
        <v>297</v>
      </c>
      <c r="C12" s="7" t="s">
        <v>298</v>
      </c>
      <c r="D12" s="7" t="s">
        <v>212</v>
      </c>
      <c r="E12" s="7" t="n">
        <v>32</v>
      </c>
      <c r="F12" s="7" t="s">
        <v>213</v>
      </c>
      <c r="G12" s="7" t="n">
        <v>64000</v>
      </c>
      <c r="H12" s="7" t="s">
        <v>287</v>
      </c>
      <c r="I12" s="7"/>
      <c r="J12" s="7"/>
      <c r="K12" s="7" t="n">
        <v>75</v>
      </c>
      <c r="L12" s="7" t="s">
        <v>181</v>
      </c>
      <c r="M12" s="7" t="s">
        <v>158</v>
      </c>
      <c r="N12" s="7" t="s">
        <v>169</v>
      </c>
    </row>
    <row r="13" customFormat="false" ht="15" hidden="false" customHeight="false" outlineLevel="0" collapsed="false">
      <c r="A13" s="6" t="s">
        <v>97</v>
      </c>
      <c r="B13" s="6" t="s">
        <v>299</v>
      </c>
      <c r="C13" s="6" t="s">
        <v>300</v>
      </c>
      <c r="D13" s="6" t="s">
        <v>301</v>
      </c>
      <c r="E13" s="6" t="n">
        <v>380</v>
      </c>
      <c r="F13" s="6" t="s">
        <v>263</v>
      </c>
      <c r="G13" s="6" t="n">
        <v>2900</v>
      </c>
      <c r="H13" s="6" t="s">
        <v>302</v>
      </c>
      <c r="I13" s="6"/>
      <c r="J13" s="6"/>
      <c r="K13" s="6" t="n">
        <v>120</v>
      </c>
      <c r="L13" s="6" t="s">
        <v>164</v>
      </c>
      <c r="M13" s="6" t="s">
        <v>195</v>
      </c>
      <c r="N13" s="6" t="s">
        <v>169</v>
      </c>
    </row>
    <row r="14" customFormat="false" ht="15" hidden="false" customHeight="false" outlineLevel="0" collapsed="false">
      <c r="A14" s="7" t="s">
        <v>97</v>
      </c>
      <c r="B14" s="7" t="s">
        <v>303</v>
      </c>
      <c r="C14" s="7" t="s">
        <v>304</v>
      </c>
      <c r="D14" s="7" t="s">
        <v>301</v>
      </c>
      <c r="E14" s="7" t="n">
        <v>8</v>
      </c>
      <c r="F14" s="7" t="s">
        <v>153</v>
      </c>
      <c r="G14" s="7" t="n">
        <v>240000</v>
      </c>
      <c r="H14" s="7" t="s">
        <v>302</v>
      </c>
      <c r="I14" s="7"/>
      <c r="J14" s="7"/>
      <c r="K14" s="7" t="n">
        <v>180</v>
      </c>
      <c r="L14" s="7" t="s">
        <v>167</v>
      </c>
      <c r="M14" s="7" t="s">
        <v>158</v>
      </c>
      <c r="N14" s="7" t="s">
        <v>169</v>
      </c>
    </row>
    <row r="15" customFormat="false" ht="15" hidden="false" customHeight="false" outlineLevel="0" collapsed="false">
      <c r="A15" s="6" t="s">
        <v>97</v>
      </c>
      <c r="B15" s="6" t="s">
        <v>305</v>
      </c>
      <c r="C15" s="6" t="s">
        <v>306</v>
      </c>
      <c r="D15" s="6" t="s">
        <v>301</v>
      </c>
      <c r="E15" s="6" t="n">
        <v>16</v>
      </c>
      <c r="F15" s="6" t="s">
        <v>153</v>
      </c>
      <c r="G15" s="6" t="n">
        <v>18000</v>
      </c>
      <c r="H15" s="6" t="s">
        <v>302</v>
      </c>
      <c r="I15" s="6"/>
      <c r="J15" s="6"/>
      <c r="K15" s="6" t="n">
        <v>90</v>
      </c>
      <c r="L15" s="6" t="s">
        <v>181</v>
      </c>
      <c r="M15" s="6" t="s">
        <v>195</v>
      </c>
      <c r="N15" s="6" t="s">
        <v>169</v>
      </c>
    </row>
    <row r="16" customFormat="false" ht="15" hidden="false" customHeight="false" outlineLevel="0" collapsed="false">
      <c r="A16" s="7" t="s">
        <v>97</v>
      </c>
      <c r="B16" s="7" t="s">
        <v>307</v>
      </c>
      <c r="C16" s="7" t="s">
        <v>308</v>
      </c>
      <c r="D16" s="7" t="s">
        <v>309</v>
      </c>
      <c r="E16" s="7" t="n">
        <v>1800</v>
      </c>
      <c r="F16" s="7" t="s">
        <v>310</v>
      </c>
      <c r="G16" s="7" t="n">
        <v>22</v>
      </c>
      <c r="H16" s="7" t="s">
        <v>311</v>
      </c>
      <c r="I16" s="7"/>
      <c r="J16" s="7"/>
      <c r="K16" s="7" t="n">
        <v>45</v>
      </c>
      <c r="L16" s="7" t="s">
        <v>227</v>
      </c>
      <c r="M16" s="7" t="s">
        <v>195</v>
      </c>
      <c r="N16" s="7" t="s">
        <v>169</v>
      </c>
    </row>
    <row r="17" customFormat="false" ht="15" hidden="false" customHeight="false" outlineLevel="0" collapsed="false">
      <c r="A17" s="6" t="s">
        <v>97</v>
      </c>
      <c r="B17" s="6" t="s">
        <v>312</v>
      </c>
      <c r="C17" s="6" t="s">
        <v>313</v>
      </c>
      <c r="D17" s="6" t="s">
        <v>309</v>
      </c>
      <c r="E17" s="6" t="n">
        <v>1200</v>
      </c>
      <c r="F17" s="6" t="s">
        <v>310</v>
      </c>
      <c r="G17" s="6" t="n">
        <v>28</v>
      </c>
      <c r="H17" s="6" t="s">
        <v>311</v>
      </c>
      <c r="I17" s="6"/>
      <c r="J17" s="6"/>
      <c r="K17" s="6" t="n">
        <v>45</v>
      </c>
      <c r="L17" s="6" t="s">
        <v>227</v>
      </c>
      <c r="M17" s="6" t="s">
        <v>195</v>
      </c>
      <c r="N17" s="6" t="s">
        <v>169</v>
      </c>
    </row>
    <row r="18" customFormat="false" ht="15" hidden="false" customHeight="false" outlineLevel="0" collapsed="false">
      <c r="A18" s="7" t="s">
        <v>97</v>
      </c>
      <c r="B18" s="7" t="s">
        <v>314</v>
      </c>
      <c r="C18" s="7" t="s">
        <v>315</v>
      </c>
      <c r="D18" s="7" t="s">
        <v>316</v>
      </c>
      <c r="E18" s="7" t="n">
        <v>6</v>
      </c>
      <c r="F18" s="7" t="s">
        <v>153</v>
      </c>
      <c r="G18" s="7" t="n">
        <v>64000</v>
      </c>
      <c r="H18" s="7" t="s">
        <v>317</v>
      </c>
      <c r="I18" s="7"/>
      <c r="J18" s="7"/>
      <c r="K18" s="7" t="n">
        <v>120</v>
      </c>
      <c r="L18" s="7" t="s">
        <v>164</v>
      </c>
      <c r="M18" s="7" t="s">
        <v>158</v>
      </c>
      <c r="N18" s="7" t="s">
        <v>169</v>
      </c>
    </row>
    <row r="19" customFormat="false" ht="15" hidden="false" customHeight="false" outlineLevel="0" collapsed="false">
      <c r="A19" s="6" t="s">
        <v>97</v>
      </c>
      <c r="B19" s="6" t="s">
        <v>318</v>
      </c>
      <c r="C19" s="6" t="s">
        <v>319</v>
      </c>
      <c r="D19" s="6" t="s">
        <v>316</v>
      </c>
      <c r="E19" s="6" t="n">
        <v>24</v>
      </c>
      <c r="F19" s="6" t="s">
        <v>153</v>
      </c>
      <c r="G19" s="6" t="n">
        <v>8400</v>
      </c>
      <c r="H19" s="6" t="s">
        <v>317</v>
      </c>
      <c r="I19" s="6"/>
      <c r="J19" s="6"/>
      <c r="K19" s="6" t="n">
        <v>90</v>
      </c>
      <c r="L19" s="6" t="s">
        <v>181</v>
      </c>
      <c r="M19" s="6" t="s">
        <v>158</v>
      </c>
      <c r="N19" s="6" t="s">
        <v>169</v>
      </c>
    </row>
    <row r="20" customFormat="false" ht="15" hidden="false" customHeight="false" outlineLevel="0" collapsed="false">
      <c r="A20" s="7" t="s">
        <v>97</v>
      </c>
      <c r="B20" s="7" t="s">
        <v>320</v>
      </c>
      <c r="C20" s="7" t="s">
        <v>321</v>
      </c>
      <c r="D20" s="7" t="s">
        <v>322</v>
      </c>
      <c r="E20" s="7" t="n">
        <v>8</v>
      </c>
      <c r="F20" s="7" t="s">
        <v>153</v>
      </c>
      <c r="G20" s="7" t="n">
        <v>96000</v>
      </c>
      <c r="H20" s="7" t="s">
        <v>302</v>
      </c>
      <c r="I20" s="7"/>
      <c r="J20" s="7"/>
      <c r="K20" s="7" t="n">
        <v>120</v>
      </c>
      <c r="L20" s="7" t="s">
        <v>164</v>
      </c>
      <c r="M20" s="7" t="s">
        <v>158</v>
      </c>
      <c r="N20" s="7" t="s">
        <v>169</v>
      </c>
    </row>
    <row r="21" customFormat="false" ht="15" hidden="false" customHeight="false" outlineLevel="0" collapsed="false">
      <c r="A21" s="6" t="s">
        <v>97</v>
      </c>
      <c r="B21" s="6" t="s">
        <v>323</v>
      </c>
      <c r="C21" s="6" t="s">
        <v>324</v>
      </c>
      <c r="D21" s="6" t="s">
        <v>301</v>
      </c>
      <c r="E21" s="6" t="n">
        <v>1800</v>
      </c>
      <c r="F21" s="6" t="s">
        <v>195</v>
      </c>
      <c r="G21" s="6" t="n">
        <v>280</v>
      </c>
      <c r="H21" s="6" t="s">
        <v>302</v>
      </c>
      <c r="I21" s="6"/>
      <c r="J21" s="6"/>
      <c r="K21" s="6" t="n">
        <v>60</v>
      </c>
      <c r="L21" s="6" t="s">
        <v>186</v>
      </c>
      <c r="M21" s="6" t="s">
        <v>195</v>
      </c>
      <c r="N21" s="6" t="s">
        <v>169</v>
      </c>
    </row>
    <row r="22" customFormat="false" ht="15" hidden="false" customHeight="false" outlineLevel="0" collapsed="false">
      <c r="A22" s="7" t="s">
        <v>97</v>
      </c>
      <c r="B22" s="7" t="s">
        <v>325</v>
      </c>
      <c r="C22" s="7" t="s">
        <v>326</v>
      </c>
      <c r="D22" s="7" t="s">
        <v>301</v>
      </c>
      <c r="E22" s="7" t="n">
        <v>2800</v>
      </c>
      <c r="F22" s="7" t="s">
        <v>179</v>
      </c>
      <c r="G22" s="7" t="n">
        <v>86</v>
      </c>
      <c r="H22" s="7" t="s">
        <v>180</v>
      </c>
      <c r="I22" s="7"/>
      <c r="J22" s="7"/>
      <c r="K22" s="7" t="n">
        <v>45</v>
      </c>
      <c r="L22" s="7" t="s">
        <v>232</v>
      </c>
      <c r="M22" s="7" t="s">
        <v>195</v>
      </c>
      <c r="N22" s="7" t="s">
        <v>169</v>
      </c>
    </row>
    <row r="23" customFormat="false" ht="15" hidden="false" customHeight="false" outlineLevel="0" collapsed="false">
      <c r="A23" s="6" t="s">
        <v>97</v>
      </c>
      <c r="B23" s="6" t="s">
        <v>327</v>
      </c>
      <c r="C23" s="6" t="s">
        <v>328</v>
      </c>
      <c r="D23" s="6" t="s">
        <v>322</v>
      </c>
      <c r="E23" s="6" t="n">
        <v>4</v>
      </c>
      <c r="F23" s="6" t="s">
        <v>153</v>
      </c>
      <c r="G23" s="6" t="n">
        <v>320000</v>
      </c>
      <c r="H23" s="6"/>
      <c r="I23" s="6"/>
      <c r="J23" s="6"/>
      <c r="K23" s="6" t="n">
        <v>240</v>
      </c>
      <c r="L23" s="6" t="s">
        <v>288</v>
      </c>
      <c r="M23" s="6" t="s">
        <v>158</v>
      </c>
      <c r="N23" s="6" t="s">
        <v>169</v>
      </c>
    </row>
    <row r="24" customFormat="false" ht="15" hidden="false" customHeight="false" outlineLevel="0" collapsed="false">
      <c r="A24" s="7" t="s">
        <v>97</v>
      </c>
      <c r="B24" s="7" t="s">
        <v>329</v>
      </c>
      <c r="C24" s="7" t="s">
        <v>330</v>
      </c>
      <c r="D24" s="7" t="s">
        <v>322</v>
      </c>
      <c r="E24" s="7" t="n">
        <v>12</v>
      </c>
      <c r="F24" s="7" t="s">
        <v>153</v>
      </c>
      <c r="G24" s="7" t="n">
        <v>18000</v>
      </c>
      <c r="H24" s="7"/>
      <c r="I24" s="7"/>
      <c r="J24" s="7"/>
      <c r="K24" s="7" t="n">
        <v>60</v>
      </c>
      <c r="L24" s="7" t="s">
        <v>181</v>
      </c>
      <c r="M24" s="7" t="s">
        <v>158</v>
      </c>
      <c r="N24" s="7" t="s">
        <v>169</v>
      </c>
    </row>
    <row r="25" customFormat="false" ht="15" hidden="false" customHeight="false" outlineLevel="0" collapsed="false">
      <c r="A25" s="6" t="s">
        <v>97</v>
      </c>
      <c r="B25" s="6" t="s">
        <v>331</v>
      </c>
      <c r="C25" s="6" t="s">
        <v>332</v>
      </c>
      <c r="D25" s="6" t="s">
        <v>253</v>
      </c>
      <c r="E25" s="6" t="n">
        <v>6</v>
      </c>
      <c r="F25" s="6" t="s">
        <v>153</v>
      </c>
      <c r="G25" s="6" t="n">
        <v>84000</v>
      </c>
      <c r="H25" s="6"/>
      <c r="I25" s="6"/>
      <c r="J25" s="6"/>
      <c r="K25" s="6" t="n">
        <v>120</v>
      </c>
      <c r="L25" s="6" t="s">
        <v>164</v>
      </c>
      <c r="M25" s="6" t="s">
        <v>158</v>
      </c>
      <c r="N25" s="6" t="s">
        <v>169</v>
      </c>
    </row>
    <row r="26" customFormat="false" ht="15" hidden="false" customHeight="false" outlineLevel="0" collapsed="false">
      <c r="A26" s="7" t="s">
        <v>97</v>
      </c>
      <c r="B26" s="7" t="s">
        <v>333</v>
      </c>
      <c r="C26" s="7" t="s">
        <v>334</v>
      </c>
      <c r="D26" s="7" t="s">
        <v>253</v>
      </c>
      <c r="E26" s="7" t="n">
        <v>28</v>
      </c>
      <c r="F26" s="7" t="s">
        <v>153</v>
      </c>
      <c r="G26" s="7" t="n">
        <v>4200</v>
      </c>
      <c r="H26" s="7"/>
      <c r="I26" s="7"/>
      <c r="J26" s="7"/>
      <c r="K26" s="7" t="n">
        <v>90</v>
      </c>
      <c r="L26" s="7" t="s">
        <v>181</v>
      </c>
      <c r="M26" s="7" t="s">
        <v>158</v>
      </c>
      <c r="N26" s="7" t="s">
        <v>169</v>
      </c>
    </row>
    <row r="27" customFormat="false" ht="15" hidden="false" customHeight="false" outlineLevel="0" collapsed="false">
      <c r="A27" s="6" t="s">
        <v>97</v>
      </c>
      <c r="B27" s="6" t="s">
        <v>335</v>
      </c>
      <c r="C27" s="6" t="s">
        <v>336</v>
      </c>
      <c r="D27" s="6" t="s">
        <v>241</v>
      </c>
      <c r="E27" s="6" t="n">
        <v>4</v>
      </c>
      <c r="F27" s="6" t="s">
        <v>153</v>
      </c>
      <c r="G27" s="6" t="n">
        <v>240000</v>
      </c>
      <c r="H27" s="6"/>
      <c r="I27" s="6"/>
      <c r="J27" s="6"/>
      <c r="K27" s="6" t="n">
        <v>180</v>
      </c>
      <c r="L27" s="6" t="s">
        <v>202</v>
      </c>
      <c r="M27" s="6" t="s">
        <v>158</v>
      </c>
      <c r="N27" s="6" t="s">
        <v>169</v>
      </c>
    </row>
    <row r="28" customFormat="false" ht="15" hidden="false" customHeight="false" outlineLevel="0" collapsed="false">
      <c r="A28" s="7" t="s">
        <v>97</v>
      </c>
      <c r="B28" s="7" t="s">
        <v>337</v>
      </c>
      <c r="C28" s="7" t="s">
        <v>338</v>
      </c>
      <c r="D28" s="7" t="s">
        <v>224</v>
      </c>
      <c r="E28" s="7" t="n">
        <v>96</v>
      </c>
      <c r="F28" s="7" t="s">
        <v>153</v>
      </c>
      <c r="G28" s="7" t="n">
        <v>2800</v>
      </c>
      <c r="H28" s="7" t="s">
        <v>317</v>
      </c>
      <c r="I28" s="7"/>
      <c r="J28" s="7"/>
      <c r="K28" s="7" t="n">
        <v>90</v>
      </c>
      <c r="L28" s="7" t="s">
        <v>189</v>
      </c>
      <c r="M28" s="7" t="s">
        <v>158</v>
      </c>
      <c r="N28" s="7" t="s">
        <v>169</v>
      </c>
    </row>
    <row r="29" customFormat="false" ht="15" hidden="false" customHeight="false" outlineLevel="0" collapsed="false">
      <c r="A29" s="6" t="s">
        <v>97</v>
      </c>
      <c r="B29" s="6" t="s">
        <v>339</v>
      </c>
      <c r="C29" s="6" t="s">
        <v>340</v>
      </c>
      <c r="D29" s="6" t="s">
        <v>192</v>
      </c>
      <c r="E29" s="6" t="n">
        <v>4</v>
      </c>
      <c r="F29" s="6" t="s">
        <v>153</v>
      </c>
      <c r="G29" s="6" t="n">
        <v>145000</v>
      </c>
      <c r="H29" s="6" t="s">
        <v>201</v>
      </c>
      <c r="I29" s="6"/>
      <c r="J29" s="6"/>
      <c r="K29" s="6" t="n">
        <v>150</v>
      </c>
      <c r="L29" s="6" t="s">
        <v>164</v>
      </c>
      <c r="M29" s="6" t="s">
        <v>158</v>
      </c>
      <c r="N29" s="6" t="s">
        <v>169</v>
      </c>
    </row>
    <row r="30" customFormat="false" ht="15" hidden="false" customHeight="false" outlineLevel="0" collapsed="false">
      <c r="A30" s="7" t="s">
        <v>97</v>
      </c>
      <c r="B30" s="7" t="s">
        <v>341</v>
      </c>
      <c r="C30" s="7" t="s">
        <v>342</v>
      </c>
      <c r="D30" s="7" t="s">
        <v>192</v>
      </c>
      <c r="E30" s="7" t="n">
        <v>1</v>
      </c>
      <c r="F30" s="7" t="s">
        <v>343</v>
      </c>
      <c r="G30" s="7" t="n">
        <v>380000</v>
      </c>
      <c r="H30" s="7" t="s">
        <v>201</v>
      </c>
      <c r="I30" s="7"/>
      <c r="J30" s="7"/>
      <c r="K30" s="7" t="n">
        <v>180</v>
      </c>
      <c r="L30" s="7" t="s">
        <v>344</v>
      </c>
      <c r="M30" s="7" t="s">
        <v>158</v>
      </c>
      <c r="N30" s="7" t="s">
        <v>169</v>
      </c>
    </row>
    <row r="31" customFormat="false" ht="15" hidden="false" customHeight="false" outlineLevel="0" collapsed="false">
      <c r="A31" s="6" t="s">
        <v>97</v>
      </c>
      <c r="B31" s="6" t="s">
        <v>345</v>
      </c>
      <c r="C31" s="6" t="s">
        <v>346</v>
      </c>
      <c r="D31" s="6" t="s">
        <v>301</v>
      </c>
      <c r="E31" s="6" t="n">
        <v>1</v>
      </c>
      <c r="F31" s="6" t="s">
        <v>343</v>
      </c>
      <c r="G31" s="6" t="n">
        <v>95000</v>
      </c>
      <c r="H31" s="6" t="s">
        <v>302</v>
      </c>
      <c r="I31" s="6"/>
      <c r="J31" s="6"/>
      <c r="K31" s="6" t="n">
        <v>90</v>
      </c>
      <c r="L31" s="6" t="s">
        <v>292</v>
      </c>
      <c r="M31" s="6" t="s">
        <v>158</v>
      </c>
      <c r="N31" s="6" t="s">
        <v>169</v>
      </c>
    </row>
    <row r="32" customFormat="false" ht="15" hidden="false" customHeight="false" outlineLevel="0" collapsed="false">
      <c r="A32" s="7" t="s">
        <v>97</v>
      </c>
      <c r="B32" s="7" t="s">
        <v>347</v>
      </c>
      <c r="C32" s="7" t="s">
        <v>348</v>
      </c>
      <c r="D32" s="7" t="s">
        <v>349</v>
      </c>
      <c r="E32" s="7" t="n">
        <v>1800</v>
      </c>
      <c r="F32" s="7" t="s">
        <v>179</v>
      </c>
      <c r="G32" s="7" t="n">
        <v>980</v>
      </c>
      <c r="H32" s="7"/>
      <c r="I32" s="7"/>
      <c r="J32" s="7"/>
      <c r="K32" s="7" t="n">
        <v>270</v>
      </c>
      <c r="L32" s="7" t="s">
        <v>167</v>
      </c>
      <c r="M32" s="7" t="s">
        <v>158</v>
      </c>
      <c r="N32" s="7" t="s">
        <v>169</v>
      </c>
    </row>
    <row r="33" customFormat="false" ht="15" hidden="false" customHeight="false" outlineLevel="0" collapsed="false">
      <c r="A33" s="6" t="s">
        <v>97</v>
      </c>
      <c r="B33" s="6" t="s">
        <v>350</v>
      </c>
      <c r="C33" s="6" t="s">
        <v>351</v>
      </c>
      <c r="D33" s="6" t="s">
        <v>349</v>
      </c>
      <c r="E33" s="6" t="n">
        <v>8</v>
      </c>
      <c r="F33" s="6" t="s">
        <v>153</v>
      </c>
      <c r="G33" s="6" t="n">
        <v>220000</v>
      </c>
      <c r="H33" s="6"/>
      <c r="I33" s="6"/>
      <c r="J33" s="6"/>
      <c r="K33" s="6" t="n">
        <v>240</v>
      </c>
      <c r="L33" s="6" t="s">
        <v>167</v>
      </c>
      <c r="M33" s="6" t="s">
        <v>158</v>
      </c>
      <c r="N33" s="6" t="s">
        <v>169</v>
      </c>
    </row>
    <row r="34" customFormat="false" ht="15" hidden="false" customHeight="false" outlineLevel="0" collapsed="false">
      <c r="A34" s="7" t="s">
        <v>97</v>
      </c>
      <c r="B34" s="7" t="s">
        <v>352</v>
      </c>
      <c r="C34" s="7" t="s">
        <v>353</v>
      </c>
      <c r="D34" s="7" t="s">
        <v>152</v>
      </c>
      <c r="E34" s="7" t="n">
        <v>4</v>
      </c>
      <c r="F34" s="7" t="s">
        <v>153</v>
      </c>
      <c r="G34" s="7" t="n">
        <v>1850000</v>
      </c>
      <c r="H34" s="7"/>
      <c r="I34" s="7"/>
      <c r="J34" s="7"/>
      <c r="K34" s="7" t="n">
        <v>360</v>
      </c>
      <c r="L34" s="7" t="s">
        <v>288</v>
      </c>
      <c r="M34" s="7" t="s">
        <v>158</v>
      </c>
      <c r="N34" s="7" t="s">
        <v>169</v>
      </c>
    </row>
    <row r="35" customFormat="false" ht="15" hidden="false" customHeight="false" outlineLevel="0" collapsed="false">
      <c r="A35" s="6" t="s">
        <v>97</v>
      </c>
      <c r="B35" s="6" t="s">
        <v>354</v>
      </c>
      <c r="C35" s="6" t="s">
        <v>355</v>
      </c>
      <c r="D35" s="6" t="s">
        <v>250</v>
      </c>
      <c r="E35" s="6" t="n">
        <v>2</v>
      </c>
      <c r="F35" s="6" t="s">
        <v>153</v>
      </c>
      <c r="G35" s="6" t="n">
        <v>580000</v>
      </c>
      <c r="H35" s="6"/>
      <c r="I35" s="6"/>
      <c r="J35" s="6"/>
      <c r="K35" s="6" t="n">
        <v>270</v>
      </c>
      <c r="L35" s="6" t="s">
        <v>167</v>
      </c>
      <c r="M35" s="6" t="s">
        <v>158</v>
      </c>
      <c r="N35" s="6" t="s">
        <v>169</v>
      </c>
    </row>
    <row r="36" customFormat="false" ht="15" hidden="false" customHeight="false" outlineLevel="0" collapsed="false">
      <c r="A36" s="7" t="s">
        <v>97</v>
      </c>
      <c r="B36" s="7" t="s">
        <v>356</v>
      </c>
      <c r="C36" s="7" t="s">
        <v>357</v>
      </c>
      <c r="D36" s="7" t="s">
        <v>316</v>
      </c>
      <c r="E36" s="7" t="n">
        <v>24</v>
      </c>
      <c r="F36" s="7" t="s">
        <v>153</v>
      </c>
      <c r="G36" s="7" t="n">
        <v>5600</v>
      </c>
      <c r="H36" s="7" t="s">
        <v>317</v>
      </c>
      <c r="I36" s="7"/>
      <c r="J36" s="7"/>
      <c r="K36" s="7" t="n">
        <v>90</v>
      </c>
      <c r="L36" s="7" t="s">
        <v>189</v>
      </c>
      <c r="M36" s="7" t="s">
        <v>158</v>
      </c>
      <c r="N36" s="7" t="s">
        <v>169</v>
      </c>
    </row>
    <row r="38" customFormat="false" ht="15" hidden="false" customHeight="false" outlineLevel="0" collapsed="false">
      <c r="A38" s="3" t="s">
        <v>274</v>
      </c>
      <c r="E38" s="0" t="n">
        <f aca="false">COUNTA(B5:B36)</f>
        <v>32</v>
      </c>
      <c r="G38" s="8" t="n">
        <f aca="false">SUMPRODUCT(E5:E36,G5:G36)</f>
        <v>41816600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7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8"/>
    <col collapsed="false" customWidth="true" hidden="false" outlineLevel="0" max="2" min="2" style="0" width="22"/>
    <col collapsed="false" customWidth="true" hidden="false" outlineLevel="0" max="3" min="3" style="0" width="36"/>
    <col collapsed="false" customWidth="true" hidden="false" outlineLevel="0" max="4" min="4" style="0" width="22"/>
    <col collapsed="false" customWidth="true" hidden="false" outlineLevel="0" max="5" min="5" style="0" width="10"/>
    <col collapsed="false" customWidth="true" hidden="false" outlineLevel="0" max="6" min="6" style="0" width="8"/>
    <col collapsed="false" customWidth="true" hidden="false" outlineLevel="0" max="7" min="7" style="0" width="14"/>
    <col collapsed="false" customWidth="true" hidden="false" outlineLevel="0" max="8" min="8" style="0" width="26"/>
    <col collapsed="false" customWidth="true" hidden="false" outlineLevel="0" max="9" min="9" style="0" width="18"/>
    <col collapsed="false" customWidth="true" hidden="false" outlineLevel="0" max="10" min="10" style="0" width="16"/>
    <col collapsed="false" customWidth="true" hidden="false" outlineLevel="0" max="11" min="11" style="0" width="14"/>
    <col collapsed="false" customWidth="true" hidden="false" outlineLevel="0" max="12" min="12" style="0" width="16"/>
    <col collapsed="false" customWidth="true" hidden="false" outlineLevel="0" max="14" min="13" style="0" width="14"/>
  </cols>
  <sheetData>
    <row r="1" customFormat="false" ht="15" hidden="false" customHeight="false" outlineLevel="0" collapsed="false">
      <c r="A1" s="1" t="s">
        <v>135</v>
      </c>
    </row>
    <row r="2" customFormat="false" ht="19.7" hidden="false" customHeight="false" outlineLevel="0" collapsed="false">
      <c r="A2" s="2" t="s">
        <v>358</v>
      </c>
    </row>
    <row r="4" customFormat="false" ht="21.75" hidden="false" customHeight="true" outlineLevel="0" collapsed="false">
      <c r="A4" s="5" t="s">
        <v>70</v>
      </c>
      <c r="B4" s="5" t="s">
        <v>137</v>
      </c>
      <c r="C4" s="5" t="s">
        <v>138</v>
      </c>
      <c r="D4" s="5" t="s">
        <v>139</v>
      </c>
      <c r="E4" s="5" t="s">
        <v>140</v>
      </c>
      <c r="F4" s="5" t="s">
        <v>141</v>
      </c>
      <c r="G4" s="5" t="s">
        <v>142</v>
      </c>
      <c r="H4" s="5" t="s">
        <v>143</v>
      </c>
      <c r="I4" s="5" t="s">
        <v>144</v>
      </c>
      <c r="J4" s="5" t="s">
        <v>145</v>
      </c>
      <c r="K4" s="5" t="s">
        <v>146</v>
      </c>
      <c r="L4" s="5" t="s">
        <v>147</v>
      </c>
      <c r="M4" s="5" t="s">
        <v>148</v>
      </c>
      <c r="N4" s="5" t="s">
        <v>149</v>
      </c>
    </row>
    <row r="5" customFormat="false" ht="15" hidden="false" customHeight="false" outlineLevel="0" collapsed="false">
      <c r="A5" s="6" t="s">
        <v>116</v>
      </c>
      <c r="B5" s="6" t="s">
        <v>359</v>
      </c>
      <c r="C5" s="6" t="s">
        <v>360</v>
      </c>
      <c r="D5" s="6" t="s">
        <v>361</v>
      </c>
      <c r="E5" s="6" t="n">
        <v>1</v>
      </c>
      <c r="F5" s="6" t="s">
        <v>153</v>
      </c>
      <c r="G5" s="6" t="n">
        <v>2400000</v>
      </c>
      <c r="H5" s="6" t="s">
        <v>362</v>
      </c>
      <c r="I5" s="6" t="s">
        <v>363</v>
      </c>
      <c r="J5" s="6" t="s">
        <v>364</v>
      </c>
      <c r="K5" s="6" t="n">
        <v>420</v>
      </c>
      <c r="L5" s="6" t="s">
        <v>365</v>
      </c>
      <c r="M5" s="6" t="s">
        <v>366</v>
      </c>
      <c r="N5" s="6" t="s">
        <v>159</v>
      </c>
    </row>
    <row r="6" customFormat="false" ht="15" hidden="false" customHeight="false" outlineLevel="0" collapsed="false">
      <c r="A6" s="7" t="s">
        <v>116</v>
      </c>
      <c r="B6" s="7" t="s">
        <v>367</v>
      </c>
      <c r="C6" s="7" t="s">
        <v>368</v>
      </c>
      <c r="D6" s="7" t="s">
        <v>361</v>
      </c>
      <c r="E6" s="7" t="n">
        <v>1</v>
      </c>
      <c r="F6" s="7" t="s">
        <v>153</v>
      </c>
      <c r="G6" s="7" t="n">
        <v>2400000</v>
      </c>
      <c r="H6" s="7" t="s">
        <v>362</v>
      </c>
      <c r="I6" s="7" t="s">
        <v>363</v>
      </c>
      <c r="J6" s="7" t="s">
        <v>364</v>
      </c>
      <c r="K6" s="7" t="n">
        <v>420</v>
      </c>
      <c r="L6" s="7" t="s">
        <v>369</v>
      </c>
      <c r="M6" s="7" t="s">
        <v>370</v>
      </c>
      <c r="N6" s="7" t="s">
        <v>159</v>
      </c>
    </row>
    <row r="7" customFormat="false" ht="15" hidden="false" customHeight="false" outlineLevel="0" collapsed="false">
      <c r="A7" s="6" t="s">
        <v>116</v>
      </c>
      <c r="B7" s="6" t="s">
        <v>371</v>
      </c>
      <c r="C7" s="6" t="s">
        <v>372</v>
      </c>
      <c r="D7" s="6" t="s">
        <v>361</v>
      </c>
      <c r="E7" s="6" t="n">
        <v>24</v>
      </c>
      <c r="F7" s="6" t="s">
        <v>153</v>
      </c>
      <c r="G7" s="6" t="n">
        <v>48000</v>
      </c>
      <c r="H7" s="6" t="s">
        <v>362</v>
      </c>
      <c r="I7" s="6"/>
      <c r="J7" s="6"/>
      <c r="K7" s="6" t="n">
        <v>240</v>
      </c>
      <c r="L7" s="6" t="s">
        <v>288</v>
      </c>
      <c r="M7" s="6" t="s">
        <v>366</v>
      </c>
      <c r="N7" s="6" t="s">
        <v>169</v>
      </c>
    </row>
    <row r="8" customFormat="false" ht="15" hidden="false" customHeight="false" outlineLevel="0" collapsed="false">
      <c r="A8" s="7" t="s">
        <v>116</v>
      </c>
      <c r="B8" s="7" t="s">
        <v>373</v>
      </c>
      <c r="C8" s="7" t="s">
        <v>374</v>
      </c>
      <c r="D8" s="7" t="s">
        <v>361</v>
      </c>
      <c r="E8" s="7" t="n">
        <v>24</v>
      </c>
      <c r="F8" s="7" t="s">
        <v>153</v>
      </c>
      <c r="G8" s="7" t="n">
        <v>48000</v>
      </c>
      <c r="H8" s="7" t="s">
        <v>362</v>
      </c>
      <c r="I8" s="7"/>
      <c r="J8" s="7"/>
      <c r="K8" s="7" t="n">
        <v>240</v>
      </c>
      <c r="L8" s="7" t="s">
        <v>375</v>
      </c>
      <c r="M8" s="7" t="s">
        <v>366</v>
      </c>
      <c r="N8" s="7" t="s">
        <v>169</v>
      </c>
    </row>
    <row r="9" customFormat="false" ht="15" hidden="false" customHeight="false" outlineLevel="0" collapsed="false">
      <c r="A9" s="6" t="s">
        <v>116</v>
      </c>
      <c r="B9" s="6" t="s">
        <v>376</v>
      </c>
      <c r="C9" s="6" t="s">
        <v>377</v>
      </c>
      <c r="D9" s="6" t="s">
        <v>361</v>
      </c>
      <c r="E9" s="6" t="n">
        <v>1</v>
      </c>
      <c r="F9" s="6" t="s">
        <v>153</v>
      </c>
      <c r="G9" s="6" t="n">
        <v>980000</v>
      </c>
      <c r="H9" s="6" t="s">
        <v>362</v>
      </c>
      <c r="I9" s="6"/>
      <c r="J9" s="6"/>
      <c r="K9" s="6" t="n">
        <v>300</v>
      </c>
      <c r="L9" s="6" t="s">
        <v>288</v>
      </c>
      <c r="M9" s="6" t="s">
        <v>366</v>
      </c>
      <c r="N9" s="6" t="s">
        <v>169</v>
      </c>
    </row>
    <row r="10" customFormat="false" ht="15" hidden="false" customHeight="false" outlineLevel="0" collapsed="false">
      <c r="A10" s="7" t="s">
        <v>116</v>
      </c>
      <c r="B10" s="7" t="s">
        <v>378</v>
      </c>
      <c r="C10" s="7" t="s">
        <v>379</v>
      </c>
      <c r="D10" s="7" t="s">
        <v>361</v>
      </c>
      <c r="E10" s="7" t="n">
        <v>1</v>
      </c>
      <c r="F10" s="7" t="s">
        <v>153</v>
      </c>
      <c r="G10" s="7" t="n">
        <v>980000</v>
      </c>
      <c r="H10" s="7" t="s">
        <v>362</v>
      </c>
      <c r="I10" s="7"/>
      <c r="J10" s="7"/>
      <c r="K10" s="7" t="n">
        <v>300</v>
      </c>
      <c r="L10" s="7" t="s">
        <v>375</v>
      </c>
      <c r="M10" s="7" t="s">
        <v>366</v>
      </c>
      <c r="N10" s="7" t="s">
        <v>169</v>
      </c>
    </row>
    <row r="11" customFormat="false" ht="15" hidden="false" customHeight="false" outlineLevel="0" collapsed="false">
      <c r="A11" s="6" t="s">
        <v>116</v>
      </c>
      <c r="B11" s="6" t="s">
        <v>380</v>
      </c>
      <c r="C11" s="6" t="s">
        <v>381</v>
      </c>
      <c r="D11" s="6" t="s">
        <v>361</v>
      </c>
      <c r="E11" s="6" t="n">
        <v>1</v>
      </c>
      <c r="F11" s="6" t="s">
        <v>153</v>
      </c>
      <c r="G11" s="6" t="n">
        <v>320000</v>
      </c>
      <c r="H11" s="6" t="s">
        <v>382</v>
      </c>
      <c r="I11" s="6"/>
      <c r="J11" s="6"/>
      <c r="K11" s="6" t="n">
        <v>240</v>
      </c>
      <c r="L11" s="6" t="s">
        <v>288</v>
      </c>
      <c r="M11" s="6" t="s">
        <v>366</v>
      </c>
      <c r="N11" s="6" t="s">
        <v>169</v>
      </c>
    </row>
    <row r="12" customFormat="false" ht="15" hidden="false" customHeight="false" outlineLevel="0" collapsed="false">
      <c r="A12" s="7" t="s">
        <v>116</v>
      </c>
      <c r="B12" s="7" t="s">
        <v>383</v>
      </c>
      <c r="C12" s="7" t="s">
        <v>384</v>
      </c>
      <c r="D12" s="7" t="s">
        <v>361</v>
      </c>
      <c r="E12" s="7" t="n">
        <v>1</v>
      </c>
      <c r="F12" s="7" t="s">
        <v>153</v>
      </c>
      <c r="G12" s="7" t="n">
        <v>320000</v>
      </c>
      <c r="H12" s="7" t="s">
        <v>382</v>
      </c>
      <c r="I12" s="7"/>
      <c r="J12" s="7"/>
      <c r="K12" s="7" t="n">
        <v>240</v>
      </c>
      <c r="L12" s="7" t="s">
        <v>375</v>
      </c>
      <c r="M12" s="7" t="s">
        <v>366</v>
      </c>
      <c r="N12" s="7" t="s">
        <v>169</v>
      </c>
    </row>
    <row r="13" customFormat="false" ht="15" hidden="false" customHeight="false" outlineLevel="0" collapsed="false">
      <c r="A13" s="6" t="s">
        <v>116</v>
      </c>
      <c r="B13" s="6" t="s">
        <v>385</v>
      </c>
      <c r="C13" s="6" t="s">
        <v>386</v>
      </c>
      <c r="D13" s="6" t="s">
        <v>387</v>
      </c>
      <c r="E13" s="6" t="n">
        <v>1</v>
      </c>
      <c r="F13" s="6" t="s">
        <v>153</v>
      </c>
      <c r="G13" s="6" t="n">
        <v>1850000</v>
      </c>
      <c r="H13" s="6" t="s">
        <v>388</v>
      </c>
      <c r="I13" s="6" t="s">
        <v>389</v>
      </c>
      <c r="J13" s="6"/>
      <c r="K13" s="6" t="n">
        <v>420</v>
      </c>
      <c r="L13" s="6" t="s">
        <v>390</v>
      </c>
      <c r="M13" s="6" t="s">
        <v>370</v>
      </c>
      <c r="N13" s="6" t="s">
        <v>159</v>
      </c>
    </row>
    <row r="14" customFormat="false" ht="15" hidden="false" customHeight="false" outlineLevel="0" collapsed="false">
      <c r="A14" s="7" t="s">
        <v>116</v>
      </c>
      <c r="B14" s="7" t="s">
        <v>391</v>
      </c>
      <c r="C14" s="7" t="s">
        <v>392</v>
      </c>
      <c r="D14" s="7" t="s">
        <v>387</v>
      </c>
      <c r="E14" s="7" t="n">
        <v>1</v>
      </c>
      <c r="F14" s="7" t="s">
        <v>153</v>
      </c>
      <c r="G14" s="7" t="n">
        <v>1850000</v>
      </c>
      <c r="H14" s="7" t="s">
        <v>388</v>
      </c>
      <c r="I14" s="7" t="s">
        <v>389</v>
      </c>
      <c r="J14" s="7"/>
      <c r="K14" s="7" t="n">
        <v>420</v>
      </c>
      <c r="L14" s="7" t="s">
        <v>393</v>
      </c>
      <c r="M14" s="7" t="s">
        <v>370</v>
      </c>
      <c r="N14" s="7" t="s">
        <v>159</v>
      </c>
    </row>
    <row r="15" customFormat="false" ht="15" hidden="false" customHeight="false" outlineLevel="0" collapsed="false">
      <c r="A15" s="6" t="s">
        <v>116</v>
      </c>
      <c r="B15" s="6" t="s">
        <v>394</v>
      </c>
      <c r="C15" s="6" t="s">
        <v>395</v>
      </c>
      <c r="D15" s="6" t="s">
        <v>387</v>
      </c>
      <c r="E15" s="6" t="n">
        <v>1</v>
      </c>
      <c r="F15" s="6" t="s">
        <v>153</v>
      </c>
      <c r="G15" s="6" t="n">
        <v>1450000</v>
      </c>
      <c r="H15" s="6" t="s">
        <v>388</v>
      </c>
      <c r="I15" s="6"/>
      <c r="J15" s="6"/>
      <c r="K15" s="6" t="n">
        <v>420</v>
      </c>
      <c r="L15" s="6" t="s">
        <v>390</v>
      </c>
      <c r="M15" s="6" t="s">
        <v>370</v>
      </c>
      <c r="N15" s="6" t="s">
        <v>169</v>
      </c>
    </row>
    <row r="16" customFormat="false" ht="15" hidden="false" customHeight="false" outlineLevel="0" collapsed="false">
      <c r="A16" s="7" t="s">
        <v>116</v>
      </c>
      <c r="B16" s="7" t="s">
        <v>396</v>
      </c>
      <c r="C16" s="7" t="s">
        <v>397</v>
      </c>
      <c r="D16" s="7" t="s">
        <v>387</v>
      </c>
      <c r="E16" s="7" t="n">
        <v>1</v>
      </c>
      <c r="F16" s="7" t="s">
        <v>153</v>
      </c>
      <c r="G16" s="7" t="n">
        <v>1450000</v>
      </c>
      <c r="H16" s="7" t="s">
        <v>388</v>
      </c>
      <c r="I16" s="7"/>
      <c r="J16" s="7"/>
      <c r="K16" s="7" t="n">
        <v>420</v>
      </c>
      <c r="L16" s="7" t="s">
        <v>393</v>
      </c>
      <c r="M16" s="7" t="s">
        <v>370</v>
      </c>
      <c r="N16" s="7" t="s">
        <v>169</v>
      </c>
    </row>
    <row r="17" customFormat="false" ht="15" hidden="false" customHeight="false" outlineLevel="0" collapsed="false">
      <c r="A17" s="6" t="s">
        <v>116</v>
      </c>
      <c r="B17" s="6" t="s">
        <v>398</v>
      </c>
      <c r="C17" s="6" t="s">
        <v>399</v>
      </c>
      <c r="D17" s="6" t="s">
        <v>387</v>
      </c>
      <c r="E17" s="6" t="n">
        <v>1</v>
      </c>
      <c r="F17" s="6" t="s">
        <v>153</v>
      </c>
      <c r="G17" s="6" t="n">
        <v>240000</v>
      </c>
      <c r="H17" s="6" t="s">
        <v>388</v>
      </c>
      <c r="I17" s="6"/>
      <c r="J17" s="6"/>
      <c r="K17" s="6" t="n">
        <v>240</v>
      </c>
      <c r="L17" s="6" t="s">
        <v>365</v>
      </c>
      <c r="M17" s="6" t="s">
        <v>370</v>
      </c>
      <c r="N17" s="6" t="s">
        <v>169</v>
      </c>
    </row>
    <row r="18" customFormat="false" ht="15" hidden="false" customHeight="false" outlineLevel="0" collapsed="false">
      <c r="A18" s="7" t="s">
        <v>116</v>
      </c>
      <c r="B18" s="7" t="s">
        <v>400</v>
      </c>
      <c r="C18" s="7" t="s">
        <v>401</v>
      </c>
      <c r="D18" s="7" t="s">
        <v>387</v>
      </c>
      <c r="E18" s="7" t="n">
        <v>1</v>
      </c>
      <c r="F18" s="7" t="s">
        <v>153</v>
      </c>
      <c r="G18" s="7" t="n">
        <v>240000</v>
      </c>
      <c r="H18" s="7" t="s">
        <v>388</v>
      </c>
      <c r="I18" s="7"/>
      <c r="J18" s="7"/>
      <c r="K18" s="7" t="n">
        <v>240</v>
      </c>
      <c r="L18" s="7" t="s">
        <v>369</v>
      </c>
      <c r="M18" s="7" t="s">
        <v>370</v>
      </c>
      <c r="N18" s="7" t="s">
        <v>169</v>
      </c>
    </row>
    <row r="19" customFormat="false" ht="15" hidden="false" customHeight="false" outlineLevel="0" collapsed="false">
      <c r="A19" s="6" t="s">
        <v>116</v>
      </c>
      <c r="B19" s="6" t="s">
        <v>402</v>
      </c>
      <c r="C19" s="6" t="s">
        <v>403</v>
      </c>
      <c r="D19" s="6" t="s">
        <v>200</v>
      </c>
      <c r="E19" s="6" t="n">
        <v>2</v>
      </c>
      <c r="F19" s="6" t="s">
        <v>153</v>
      </c>
      <c r="G19" s="6" t="n">
        <v>1100000</v>
      </c>
      <c r="H19" s="6"/>
      <c r="I19" s="6"/>
      <c r="J19" s="6"/>
      <c r="K19" s="6" t="n">
        <v>360</v>
      </c>
      <c r="L19" s="6" t="s">
        <v>404</v>
      </c>
      <c r="M19" s="6" t="s">
        <v>405</v>
      </c>
      <c r="N19" s="6" t="s">
        <v>169</v>
      </c>
    </row>
    <row r="20" customFormat="false" ht="15" hidden="false" customHeight="false" outlineLevel="0" collapsed="false">
      <c r="A20" s="7" t="s">
        <v>116</v>
      </c>
      <c r="B20" s="7" t="s">
        <v>406</v>
      </c>
      <c r="C20" s="7" t="s">
        <v>407</v>
      </c>
      <c r="D20" s="7" t="s">
        <v>200</v>
      </c>
      <c r="E20" s="7" t="n">
        <v>4</v>
      </c>
      <c r="F20" s="7" t="s">
        <v>153</v>
      </c>
      <c r="G20" s="7" t="n">
        <v>145000</v>
      </c>
      <c r="H20" s="7" t="s">
        <v>388</v>
      </c>
      <c r="I20" s="7"/>
      <c r="J20" s="7"/>
      <c r="K20" s="7" t="n">
        <v>180</v>
      </c>
      <c r="L20" s="7" t="s">
        <v>157</v>
      </c>
      <c r="M20" s="7" t="s">
        <v>366</v>
      </c>
      <c r="N20" s="7" t="s">
        <v>169</v>
      </c>
    </row>
    <row r="21" customFormat="false" ht="15" hidden="false" customHeight="false" outlineLevel="0" collapsed="false">
      <c r="A21" s="6" t="s">
        <v>116</v>
      </c>
      <c r="B21" s="6" t="s">
        <v>408</v>
      </c>
      <c r="C21" s="6" t="s">
        <v>409</v>
      </c>
      <c r="D21" s="6" t="s">
        <v>200</v>
      </c>
      <c r="E21" s="6" t="n">
        <v>6</v>
      </c>
      <c r="F21" s="6" t="s">
        <v>153</v>
      </c>
      <c r="G21" s="6" t="n">
        <v>1450000</v>
      </c>
      <c r="H21" s="6"/>
      <c r="I21" s="6"/>
      <c r="J21" s="6"/>
      <c r="K21" s="6" t="n">
        <v>320</v>
      </c>
      <c r="L21" s="6" t="s">
        <v>410</v>
      </c>
      <c r="M21" s="6" t="s">
        <v>411</v>
      </c>
      <c r="N21" s="6" t="s">
        <v>169</v>
      </c>
    </row>
    <row r="22" customFormat="false" ht="15" hidden="false" customHeight="false" outlineLevel="0" collapsed="false">
      <c r="A22" s="7" t="s">
        <v>116</v>
      </c>
      <c r="B22" s="7" t="s">
        <v>412</v>
      </c>
      <c r="C22" s="7" t="s">
        <v>413</v>
      </c>
      <c r="D22" s="7" t="s">
        <v>200</v>
      </c>
      <c r="E22" s="7" t="n">
        <v>4</v>
      </c>
      <c r="F22" s="7" t="s">
        <v>153</v>
      </c>
      <c r="G22" s="7" t="n">
        <v>380000</v>
      </c>
      <c r="H22" s="7"/>
      <c r="I22" s="7"/>
      <c r="J22" s="7"/>
      <c r="K22" s="7" t="n">
        <v>240</v>
      </c>
      <c r="L22" s="7" t="s">
        <v>404</v>
      </c>
      <c r="M22" s="7" t="s">
        <v>405</v>
      </c>
      <c r="N22" s="7" t="s">
        <v>169</v>
      </c>
    </row>
    <row r="23" customFormat="false" ht="15" hidden="false" customHeight="false" outlineLevel="0" collapsed="false">
      <c r="A23" s="6" t="s">
        <v>116</v>
      </c>
      <c r="B23" s="6" t="s">
        <v>414</v>
      </c>
      <c r="C23" s="6" t="s">
        <v>415</v>
      </c>
      <c r="D23" s="6" t="s">
        <v>192</v>
      </c>
      <c r="E23" s="6" t="n">
        <v>2</v>
      </c>
      <c r="F23" s="6" t="s">
        <v>153</v>
      </c>
      <c r="G23" s="6" t="n">
        <v>96000</v>
      </c>
      <c r="H23" s="6"/>
      <c r="I23" s="6"/>
      <c r="J23" s="6"/>
      <c r="K23" s="6" t="n">
        <v>180</v>
      </c>
      <c r="L23" s="6" t="s">
        <v>404</v>
      </c>
      <c r="M23" s="6" t="s">
        <v>405</v>
      </c>
      <c r="N23" s="6" t="s">
        <v>169</v>
      </c>
    </row>
    <row r="24" customFormat="false" ht="15" hidden="false" customHeight="false" outlineLevel="0" collapsed="false">
      <c r="A24" s="7" t="s">
        <v>116</v>
      </c>
      <c r="B24" s="7" t="s">
        <v>416</v>
      </c>
      <c r="C24" s="7" t="s">
        <v>417</v>
      </c>
      <c r="D24" s="7" t="s">
        <v>192</v>
      </c>
      <c r="E24" s="7" t="n">
        <v>1</v>
      </c>
      <c r="F24" s="7" t="s">
        <v>153</v>
      </c>
      <c r="G24" s="7" t="n">
        <v>620000</v>
      </c>
      <c r="H24" s="7" t="s">
        <v>382</v>
      </c>
      <c r="I24" s="7"/>
      <c r="J24" s="7"/>
      <c r="K24" s="7" t="n">
        <v>240</v>
      </c>
      <c r="L24" s="7" t="s">
        <v>365</v>
      </c>
      <c r="M24" s="7" t="s">
        <v>366</v>
      </c>
      <c r="N24" s="7" t="s">
        <v>169</v>
      </c>
    </row>
    <row r="25" customFormat="false" ht="15" hidden="false" customHeight="false" outlineLevel="0" collapsed="false">
      <c r="A25" s="6" t="s">
        <v>116</v>
      </c>
      <c r="B25" s="6" t="s">
        <v>418</v>
      </c>
      <c r="C25" s="6" t="s">
        <v>419</v>
      </c>
      <c r="D25" s="6" t="s">
        <v>192</v>
      </c>
      <c r="E25" s="6" t="n">
        <v>1</v>
      </c>
      <c r="F25" s="6" t="s">
        <v>153</v>
      </c>
      <c r="G25" s="6" t="n">
        <v>620000</v>
      </c>
      <c r="H25" s="6" t="s">
        <v>382</v>
      </c>
      <c r="I25" s="6"/>
      <c r="J25" s="6"/>
      <c r="K25" s="6" t="n">
        <v>240</v>
      </c>
      <c r="L25" s="6" t="s">
        <v>369</v>
      </c>
      <c r="M25" s="6" t="s">
        <v>366</v>
      </c>
      <c r="N25" s="6" t="s">
        <v>169</v>
      </c>
    </row>
    <row r="26" customFormat="false" ht="15" hidden="false" customHeight="false" outlineLevel="0" collapsed="false">
      <c r="A26" s="7" t="s">
        <v>116</v>
      </c>
      <c r="B26" s="7" t="s">
        <v>420</v>
      </c>
      <c r="C26" s="7" t="s">
        <v>421</v>
      </c>
      <c r="D26" s="7" t="s">
        <v>422</v>
      </c>
      <c r="E26" s="7" t="n">
        <v>6</v>
      </c>
      <c r="F26" s="7" t="s">
        <v>153</v>
      </c>
      <c r="G26" s="7" t="n">
        <v>380000</v>
      </c>
      <c r="H26" s="7" t="s">
        <v>382</v>
      </c>
      <c r="I26" s="7" t="s">
        <v>423</v>
      </c>
      <c r="J26" s="7"/>
      <c r="K26" s="7" t="n">
        <v>300</v>
      </c>
      <c r="L26" s="7" t="s">
        <v>164</v>
      </c>
      <c r="M26" s="7" t="s">
        <v>424</v>
      </c>
      <c r="N26" s="7" t="s">
        <v>159</v>
      </c>
    </row>
    <row r="27" customFormat="false" ht="15" hidden="false" customHeight="false" outlineLevel="0" collapsed="false">
      <c r="A27" s="6" t="s">
        <v>116</v>
      </c>
      <c r="B27" s="6" t="s">
        <v>425</v>
      </c>
      <c r="C27" s="6" t="s">
        <v>426</v>
      </c>
      <c r="D27" s="6" t="s">
        <v>422</v>
      </c>
      <c r="E27" s="6" t="n">
        <v>6</v>
      </c>
      <c r="F27" s="6" t="s">
        <v>153</v>
      </c>
      <c r="G27" s="6" t="n">
        <v>380000</v>
      </c>
      <c r="H27" s="6" t="s">
        <v>382</v>
      </c>
      <c r="I27" s="6"/>
      <c r="J27" s="6"/>
      <c r="K27" s="6" t="n">
        <v>300</v>
      </c>
      <c r="L27" s="6" t="s">
        <v>344</v>
      </c>
      <c r="M27" s="6" t="s">
        <v>424</v>
      </c>
      <c r="N27" s="6" t="s">
        <v>169</v>
      </c>
    </row>
    <row r="28" customFormat="false" ht="15" hidden="false" customHeight="false" outlineLevel="0" collapsed="false">
      <c r="A28" s="7" t="s">
        <v>116</v>
      </c>
      <c r="B28" s="7" t="s">
        <v>427</v>
      </c>
      <c r="C28" s="7" t="s">
        <v>428</v>
      </c>
      <c r="D28" s="7" t="s">
        <v>422</v>
      </c>
      <c r="E28" s="7" t="n">
        <v>24</v>
      </c>
      <c r="F28" s="7" t="s">
        <v>153</v>
      </c>
      <c r="G28" s="7" t="n">
        <v>28000</v>
      </c>
      <c r="H28" s="7" t="s">
        <v>382</v>
      </c>
      <c r="I28" s="7"/>
      <c r="J28" s="7"/>
      <c r="K28" s="7" t="n">
        <v>180</v>
      </c>
      <c r="L28" s="7" t="s">
        <v>164</v>
      </c>
      <c r="M28" s="7" t="s">
        <v>424</v>
      </c>
      <c r="N28" s="7" t="s">
        <v>169</v>
      </c>
    </row>
    <row r="29" customFormat="false" ht="15" hidden="false" customHeight="false" outlineLevel="0" collapsed="false">
      <c r="A29" s="6" t="s">
        <v>116</v>
      </c>
      <c r="B29" s="6" t="s">
        <v>429</v>
      </c>
      <c r="C29" s="6" t="s">
        <v>430</v>
      </c>
      <c r="D29" s="6" t="s">
        <v>178</v>
      </c>
      <c r="E29" s="6" t="n">
        <v>8</v>
      </c>
      <c r="F29" s="6" t="s">
        <v>153</v>
      </c>
      <c r="G29" s="6" t="n">
        <v>38000</v>
      </c>
      <c r="H29" s="6"/>
      <c r="I29" s="6"/>
      <c r="J29" s="6"/>
      <c r="K29" s="6" t="n">
        <v>150</v>
      </c>
      <c r="L29" s="6" t="s">
        <v>157</v>
      </c>
      <c r="M29" s="6" t="s">
        <v>366</v>
      </c>
      <c r="N29" s="6" t="s">
        <v>169</v>
      </c>
    </row>
    <row r="30" customFormat="false" ht="15" hidden="false" customHeight="false" outlineLevel="0" collapsed="false">
      <c r="A30" s="7" t="s">
        <v>116</v>
      </c>
      <c r="B30" s="7" t="s">
        <v>431</v>
      </c>
      <c r="C30" s="7" t="s">
        <v>432</v>
      </c>
      <c r="D30" s="7" t="s">
        <v>184</v>
      </c>
      <c r="E30" s="7" t="n">
        <v>2</v>
      </c>
      <c r="F30" s="7" t="s">
        <v>153</v>
      </c>
      <c r="G30" s="7" t="n">
        <v>980000</v>
      </c>
      <c r="H30" s="7"/>
      <c r="I30" s="7"/>
      <c r="J30" s="7"/>
      <c r="K30" s="7" t="n">
        <v>300</v>
      </c>
      <c r="L30" s="7" t="s">
        <v>288</v>
      </c>
      <c r="M30" s="7" t="s">
        <v>366</v>
      </c>
      <c r="N30" s="7" t="s">
        <v>169</v>
      </c>
    </row>
    <row r="31" customFormat="false" ht="15" hidden="false" customHeight="false" outlineLevel="0" collapsed="false">
      <c r="A31" s="6" t="s">
        <v>116</v>
      </c>
      <c r="B31" s="6" t="s">
        <v>433</v>
      </c>
      <c r="C31" s="6" t="s">
        <v>434</v>
      </c>
      <c r="D31" s="6" t="s">
        <v>361</v>
      </c>
      <c r="E31" s="6" t="n">
        <v>4</v>
      </c>
      <c r="F31" s="6" t="s">
        <v>153</v>
      </c>
      <c r="G31" s="6" t="n">
        <v>480000</v>
      </c>
      <c r="H31" s="6"/>
      <c r="I31" s="6"/>
      <c r="J31" s="6"/>
      <c r="K31" s="6" t="n">
        <v>270</v>
      </c>
      <c r="L31" s="6" t="s">
        <v>344</v>
      </c>
      <c r="M31" s="6" t="s">
        <v>424</v>
      </c>
      <c r="N31" s="6" t="s">
        <v>169</v>
      </c>
    </row>
    <row r="32" customFormat="false" ht="15" hidden="false" customHeight="false" outlineLevel="0" collapsed="false">
      <c r="A32" s="7" t="s">
        <v>116</v>
      </c>
      <c r="B32" s="7" t="s">
        <v>435</v>
      </c>
      <c r="C32" s="7" t="s">
        <v>436</v>
      </c>
      <c r="D32" s="7" t="s">
        <v>250</v>
      </c>
      <c r="E32" s="7" t="n">
        <v>4</v>
      </c>
      <c r="F32" s="7" t="s">
        <v>153</v>
      </c>
      <c r="G32" s="7" t="n">
        <v>220000</v>
      </c>
      <c r="H32" s="7"/>
      <c r="I32" s="7"/>
      <c r="J32" s="7"/>
      <c r="K32" s="7" t="n">
        <v>240</v>
      </c>
      <c r="L32" s="7" t="s">
        <v>157</v>
      </c>
      <c r="M32" s="7" t="s">
        <v>424</v>
      </c>
      <c r="N32" s="7" t="s">
        <v>169</v>
      </c>
    </row>
    <row r="33" customFormat="false" ht="15" hidden="false" customHeight="false" outlineLevel="0" collapsed="false">
      <c r="A33" s="6" t="s">
        <v>116</v>
      </c>
      <c r="B33" s="6" t="s">
        <v>437</v>
      </c>
      <c r="C33" s="6" t="s">
        <v>438</v>
      </c>
      <c r="D33" s="6" t="s">
        <v>250</v>
      </c>
      <c r="E33" s="6" t="n">
        <v>1</v>
      </c>
      <c r="F33" s="6" t="s">
        <v>153</v>
      </c>
      <c r="G33" s="6" t="n">
        <v>480000</v>
      </c>
      <c r="H33" s="6"/>
      <c r="I33" s="6"/>
      <c r="J33" s="6"/>
      <c r="K33" s="6" t="n">
        <v>300</v>
      </c>
      <c r="L33" s="6" t="s">
        <v>288</v>
      </c>
      <c r="M33" s="6" t="s">
        <v>366</v>
      </c>
      <c r="N33" s="6" t="s">
        <v>169</v>
      </c>
    </row>
    <row r="34" customFormat="false" ht="15" hidden="false" customHeight="false" outlineLevel="0" collapsed="false">
      <c r="A34" s="7" t="s">
        <v>116</v>
      </c>
      <c r="B34" s="7" t="s">
        <v>439</v>
      </c>
      <c r="C34" s="7" t="s">
        <v>440</v>
      </c>
      <c r="D34" s="7" t="s">
        <v>250</v>
      </c>
      <c r="E34" s="7" t="n">
        <v>2</v>
      </c>
      <c r="F34" s="7" t="s">
        <v>153</v>
      </c>
      <c r="G34" s="7" t="n">
        <v>220000</v>
      </c>
      <c r="H34" s="7"/>
      <c r="I34" s="7"/>
      <c r="J34" s="7"/>
      <c r="K34" s="7" t="n">
        <v>240</v>
      </c>
      <c r="L34" s="7" t="s">
        <v>288</v>
      </c>
      <c r="M34" s="7" t="s">
        <v>366</v>
      </c>
      <c r="N34" s="7" t="s">
        <v>169</v>
      </c>
    </row>
    <row r="35" customFormat="false" ht="15" hidden="false" customHeight="false" outlineLevel="0" collapsed="false">
      <c r="A35" s="6" t="s">
        <v>116</v>
      </c>
      <c r="B35" s="6" t="s">
        <v>441</v>
      </c>
      <c r="C35" s="6" t="s">
        <v>442</v>
      </c>
      <c r="D35" s="6" t="s">
        <v>256</v>
      </c>
      <c r="E35" s="6" t="n">
        <v>4</v>
      </c>
      <c r="F35" s="6" t="s">
        <v>153</v>
      </c>
      <c r="G35" s="6" t="n">
        <v>86000</v>
      </c>
      <c r="H35" s="6"/>
      <c r="I35" s="6"/>
      <c r="J35" s="6"/>
      <c r="K35" s="6" t="n">
        <v>180</v>
      </c>
      <c r="L35" s="6" t="s">
        <v>365</v>
      </c>
      <c r="M35" s="6" t="s">
        <v>370</v>
      </c>
      <c r="N35" s="6" t="s">
        <v>169</v>
      </c>
    </row>
    <row r="36" customFormat="false" ht="15" hidden="false" customHeight="false" outlineLevel="0" collapsed="false">
      <c r="A36" s="7" t="s">
        <v>116</v>
      </c>
      <c r="B36" s="7" t="s">
        <v>443</v>
      </c>
      <c r="C36" s="7" t="s">
        <v>444</v>
      </c>
      <c r="D36" s="7" t="s">
        <v>259</v>
      </c>
      <c r="E36" s="7" t="n">
        <v>2</v>
      </c>
      <c r="F36" s="7" t="s">
        <v>153</v>
      </c>
      <c r="G36" s="7" t="n">
        <v>64000</v>
      </c>
      <c r="H36" s="7"/>
      <c r="I36" s="7"/>
      <c r="J36" s="7"/>
      <c r="K36" s="7" t="n">
        <v>150</v>
      </c>
      <c r="L36" s="7" t="s">
        <v>365</v>
      </c>
      <c r="M36" s="7" t="s">
        <v>370</v>
      </c>
      <c r="N36" s="7" t="s">
        <v>169</v>
      </c>
    </row>
    <row r="37" customFormat="false" ht="15" hidden="false" customHeight="false" outlineLevel="0" collapsed="false">
      <c r="A37" s="6" t="s">
        <v>116</v>
      </c>
      <c r="B37" s="6" t="s">
        <v>445</v>
      </c>
      <c r="C37" s="6" t="s">
        <v>446</v>
      </c>
      <c r="D37" s="6" t="s">
        <v>241</v>
      </c>
      <c r="E37" s="6" t="n">
        <v>4</v>
      </c>
      <c r="F37" s="6" t="s">
        <v>153</v>
      </c>
      <c r="G37" s="6" t="n">
        <v>38000</v>
      </c>
      <c r="H37" s="6"/>
      <c r="I37" s="6"/>
      <c r="J37" s="6"/>
      <c r="K37" s="6" t="n">
        <v>120</v>
      </c>
      <c r="L37" s="6" t="s">
        <v>390</v>
      </c>
      <c r="M37" s="6" t="s">
        <v>370</v>
      </c>
      <c r="N37" s="6" t="s">
        <v>169</v>
      </c>
    </row>
    <row r="38" customFormat="false" ht="15" hidden="false" customHeight="false" outlineLevel="0" collapsed="false">
      <c r="A38" s="7" t="s">
        <v>116</v>
      </c>
      <c r="B38" s="7" t="s">
        <v>447</v>
      </c>
      <c r="C38" s="7" t="s">
        <v>448</v>
      </c>
      <c r="D38" s="7" t="s">
        <v>253</v>
      </c>
      <c r="E38" s="7" t="n">
        <v>1</v>
      </c>
      <c r="F38" s="7" t="s">
        <v>343</v>
      </c>
      <c r="G38" s="7" t="n">
        <v>580000</v>
      </c>
      <c r="H38" s="7"/>
      <c r="I38" s="7"/>
      <c r="J38" s="7"/>
      <c r="K38" s="7" t="n">
        <v>180</v>
      </c>
      <c r="L38" s="7" t="s">
        <v>404</v>
      </c>
      <c r="M38" s="7" t="s">
        <v>405</v>
      </c>
      <c r="N38" s="7" t="s">
        <v>169</v>
      </c>
    </row>
    <row r="39" customFormat="false" ht="15" hidden="false" customHeight="false" outlineLevel="0" collapsed="false">
      <c r="A39" s="6" t="s">
        <v>116</v>
      </c>
      <c r="B39" s="6" t="s">
        <v>449</v>
      </c>
      <c r="C39" s="6" t="s">
        <v>450</v>
      </c>
      <c r="D39" s="6" t="s">
        <v>192</v>
      </c>
      <c r="E39" s="6" t="n">
        <v>1</v>
      </c>
      <c r="F39" s="6" t="s">
        <v>343</v>
      </c>
      <c r="G39" s="6" t="n">
        <v>1850000</v>
      </c>
      <c r="H39" s="6"/>
      <c r="I39" s="6"/>
      <c r="J39" s="6"/>
      <c r="K39" s="6" t="n">
        <v>240</v>
      </c>
      <c r="L39" s="6" t="s">
        <v>369</v>
      </c>
      <c r="M39" s="6" t="s">
        <v>405</v>
      </c>
      <c r="N39" s="6" t="s">
        <v>169</v>
      </c>
    </row>
    <row r="40" customFormat="false" ht="15" hidden="false" customHeight="false" outlineLevel="0" collapsed="false">
      <c r="A40" s="7" t="s">
        <v>116</v>
      </c>
      <c r="B40" s="7" t="s">
        <v>451</v>
      </c>
      <c r="C40" s="7" t="s">
        <v>452</v>
      </c>
      <c r="D40" s="7" t="s">
        <v>224</v>
      </c>
      <c r="E40" s="7" t="n">
        <v>12</v>
      </c>
      <c r="F40" s="7" t="s">
        <v>153</v>
      </c>
      <c r="G40" s="7" t="n">
        <v>28000</v>
      </c>
      <c r="H40" s="7"/>
      <c r="I40" s="7"/>
      <c r="J40" s="7"/>
      <c r="K40" s="7" t="n">
        <v>150</v>
      </c>
      <c r="L40" s="7" t="s">
        <v>390</v>
      </c>
      <c r="M40" s="7" t="s">
        <v>370</v>
      </c>
      <c r="N40" s="7" t="s">
        <v>169</v>
      </c>
    </row>
    <row r="41" customFormat="false" ht="15" hidden="false" customHeight="false" outlineLevel="0" collapsed="false">
      <c r="A41" s="6" t="s">
        <v>116</v>
      </c>
      <c r="B41" s="6" t="s">
        <v>453</v>
      </c>
      <c r="C41" s="6" t="s">
        <v>454</v>
      </c>
      <c r="D41" s="6" t="s">
        <v>224</v>
      </c>
      <c r="E41" s="6" t="n">
        <v>240</v>
      </c>
      <c r="F41" s="6" t="s">
        <v>153</v>
      </c>
      <c r="G41" s="6" t="n">
        <v>4800</v>
      </c>
      <c r="H41" s="6"/>
      <c r="I41" s="6"/>
      <c r="J41" s="6"/>
      <c r="K41" s="6" t="n">
        <v>90</v>
      </c>
      <c r="L41" s="6" t="s">
        <v>181</v>
      </c>
      <c r="M41" s="6" t="s">
        <v>424</v>
      </c>
      <c r="N41" s="6" t="s">
        <v>169</v>
      </c>
    </row>
    <row r="42" customFormat="false" ht="15" hidden="false" customHeight="false" outlineLevel="0" collapsed="false">
      <c r="A42" s="7" t="s">
        <v>116</v>
      </c>
      <c r="B42" s="7" t="s">
        <v>455</v>
      </c>
      <c r="C42" s="7" t="s">
        <v>456</v>
      </c>
      <c r="D42" s="7" t="s">
        <v>266</v>
      </c>
      <c r="E42" s="7" t="n">
        <v>4800</v>
      </c>
      <c r="F42" s="7" t="s">
        <v>263</v>
      </c>
      <c r="G42" s="7" t="n">
        <v>720</v>
      </c>
      <c r="H42" s="7"/>
      <c r="I42" s="7"/>
      <c r="J42" s="7"/>
      <c r="K42" s="7" t="n">
        <v>30</v>
      </c>
      <c r="L42" s="7" t="s">
        <v>219</v>
      </c>
      <c r="M42" s="7" t="s">
        <v>457</v>
      </c>
      <c r="N42" s="7" t="s">
        <v>169</v>
      </c>
    </row>
    <row r="43" customFormat="false" ht="15" hidden="false" customHeight="false" outlineLevel="0" collapsed="false">
      <c r="A43" s="6" t="s">
        <v>116</v>
      </c>
      <c r="B43" s="6" t="s">
        <v>458</v>
      </c>
      <c r="C43" s="6" t="s">
        <v>459</v>
      </c>
      <c r="D43" s="6" t="s">
        <v>266</v>
      </c>
      <c r="E43" s="6" t="n">
        <v>28000</v>
      </c>
      <c r="F43" s="6" t="s">
        <v>263</v>
      </c>
      <c r="G43" s="6" t="n">
        <v>92</v>
      </c>
      <c r="H43" s="6"/>
      <c r="I43" s="6"/>
      <c r="J43" s="6"/>
      <c r="K43" s="6" t="n">
        <v>15</v>
      </c>
      <c r="L43" s="6" t="s">
        <v>219</v>
      </c>
      <c r="M43" s="6" t="s">
        <v>457</v>
      </c>
      <c r="N43" s="6" t="s">
        <v>169</v>
      </c>
    </row>
    <row r="44" customFormat="false" ht="15" hidden="false" customHeight="false" outlineLevel="0" collapsed="false">
      <c r="A44" s="7" t="s">
        <v>116</v>
      </c>
      <c r="B44" s="7" t="s">
        <v>460</v>
      </c>
      <c r="C44" s="7" t="s">
        <v>461</v>
      </c>
      <c r="D44" s="7" t="s">
        <v>266</v>
      </c>
      <c r="E44" s="7" t="n">
        <v>68000</v>
      </c>
      <c r="F44" s="7" t="s">
        <v>263</v>
      </c>
      <c r="G44" s="7" t="n">
        <v>18</v>
      </c>
      <c r="H44" s="7"/>
      <c r="I44" s="7"/>
      <c r="J44" s="7"/>
      <c r="K44" s="7" t="n">
        <v>15</v>
      </c>
      <c r="L44" s="7" t="s">
        <v>219</v>
      </c>
      <c r="M44" s="7" t="s">
        <v>457</v>
      </c>
      <c r="N44" s="7" t="s">
        <v>169</v>
      </c>
    </row>
    <row r="45" customFormat="false" ht="15" hidden="false" customHeight="false" outlineLevel="0" collapsed="false">
      <c r="A45" s="6" t="s">
        <v>116</v>
      </c>
      <c r="B45" s="6" t="s">
        <v>462</v>
      </c>
      <c r="C45" s="6" t="s">
        <v>463</v>
      </c>
      <c r="D45" s="6" t="s">
        <v>266</v>
      </c>
      <c r="E45" s="6" t="n">
        <v>1800</v>
      </c>
      <c r="F45" s="6" t="s">
        <v>195</v>
      </c>
      <c r="G45" s="6" t="n">
        <v>280</v>
      </c>
      <c r="H45" s="6"/>
      <c r="I45" s="6"/>
      <c r="J45" s="6"/>
      <c r="K45" s="6" t="n">
        <v>60</v>
      </c>
      <c r="L45" s="6" t="s">
        <v>186</v>
      </c>
      <c r="M45" s="6" t="s">
        <v>457</v>
      </c>
      <c r="N45" s="6" t="s">
        <v>169</v>
      </c>
    </row>
    <row r="46" customFormat="false" ht="15" hidden="false" customHeight="false" outlineLevel="0" collapsed="false">
      <c r="A46" s="7" t="s">
        <v>116</v>
      </c>
      <c r="B46" s="7" t="s">
        <v>464</v>
      </c>
      <c r="C46" s="7" t="s">
        <v>465</v>
      </c>
      <c r="D46" s="7" t="s">
        <v>266</v>
      </c>
      <c r="E46" s="7" t="n">
        <v>4800</v>
      </c>
      <c r="F46" s="7" t="s">
        <v>158</v>
      </c>
      <c r="G46" s="7" t="n">
        <v>320</v>
      </c>
      <c r="H46" s="7"/>
      <c r="I46" s="7"/>
      <c r="J46" s="7"/>
      <c r="K46" s="7" t="n">
        <v>30</v>
      </c>
      <c r="L46" s="7" t="s">
        <v>219</v>
      </c>
      <c r="M46" s="7" t="s">
        <v>466</v>
      </c>
      <c r="N46" s="7" t="s">
        <v>169</v>
      </c>
    </row>
    <row r="47" customFormat="false" ht="15" hidden="false" customHeight="false" outlineLevel="0" collapsed="false">
      <c r="A47" s="6" t="s">
        <v>116</v>
      </c>
      <c r="B47" s="6" t="s">
        <v>467</v>
      </c>
      <c r="C47" s="6" t="s">
        <v>468</v>
      </c>
      <c r="D47" s="6" t="s">
        <v>266</v>
      </c>
      <c r="E47" s="6" t="n">
        <v>18000</v>
      </c>
      <c r="F47" s="6" t="s">
        <v>153</v>
      </c>
      <c r="G47" s="6" t="n">
        <v>42</v>
      </c>
      <c r="H47" s="6"/>
      <c r="I47" s="6"/>
      <c r="J47" s="6"/>
      <c r="K47" s="6" t="n">
        <v>30</v>
      </c>
      <c r="L47" s="6" t="s">
        <v>219</v>
      </c>
      <c r="M47" s="6" t="s">
        <v>466</v>
      </c>
      <c r="N47" s="6" t="s">
        <v>169</v>
      </c>
    </row>
    <row r="48" customFormat="false" ht="15" hidden="false" customHeight="false" outlineLevel="0" collapsed="false">
      <c r="A48" s="7" t="s">
        <v>116</v>
      </c>
      <c r="B48" s="7" t="s">
        <v>469</v>
      </c>
      <c r="C48" s="7" t="s">
        <v>470</v>
      </c>
      <c r="D48" s="7" t="s">
        <v>212</v>
      </c>
      <c r="E48" s="7" t="n">
        <v>18</v>
      </c>
      <c r="F48" s="7" t="s">
        <v>213</v>
      </c>
      <c r="G48" s="7" t="n">
        <v>86000</v>
      </c>
      <c r="H48" s="7"/>
      <c r="I48" s="7"/>
      <c r="J48" s="7"/>
      <c r="K48" s="7" t="n">
        <v>90</v>
      </c>
      <c r="L48" s="7" t="s">
        <v>365</v>
      </c>
      <c r="M48" s="7" t="s">
        <v>370</v>
      </c>
      <c r="N48" s="7" t="s">
        <v>169</v>
      </c>
    </row>
    <row r="49" customFormat="false" ht="15" hidden="false" customHeight="false" outlineLevel="0" collapsed="false">
      <c r="A49" s="6" t="s">
        <v>116</v>
      </c>
      <c r="B49" s="6" t="s">
        <v>471</v>
      </c>
      <c r="C49" s="6" t="s">
        <v>472</v>
      </c>
      <c r="D49" s="6" t="s">
        <v>212</v>
      </c>
      <c r="E49" s="6" t="n">
        <v>48</v>
      </c>
      <c r="F49" s="6" t="s">
        <v>213</v>
      </c>
      <c r="G49" s="6" t="n">
        <v>22000</v>
      </c>
      <c r="H49" s="6"/>
      <c r="I49" s="6"/>
      <c r="J49" s="6"/>
      <c r="K49" s="6" t="n">
        <v>60</v>
      </c>
      <c r="L49" s="6" t="s">
        <v>365</v>
      </c>
      <c r="M49" s="6" t="s">
        <v>370</v>
      </c>
      <c r="N49" s="6" t="s">
        <v>169</v>
      </c>
    </row>
    <row r="50" customFormat="false" ht="15" hidden="false" customHeight="false" outlineLevel="0" collapsed="false">
      <c r="A50" s="7" t="s">
        <v>116</v>
      </c>
      <c r="B50" s="7" t="s">
        <v>473</v>
      </c>
      <c r="C50" s="7" t="s">
        <v>474</v>
      </c>
      <c r="D50" s="7" t="s">
        <v>200</v>
      </c>
      <c r="E50" s="7" t="n">
        <v>8400</v>
      </c>
      <c r="F50" s="7" t="s">
        <v>179</v>
      </c>
      <c r="G50" s="7" t="n">
        <v>28</v>
      </c>
      <c r="H50" s="7"/>
      <c r="I50" s="7"/>
      <c r="J50" s="7"/>
      <c r="K50" s="7" t="n">
        <v>60</v>
      </c>
      <c r="L50" s="7" t="s">
        <v>365</v>
      </c>
      <c r="M50" s="7" t="s">
        <v>370</v>
      </c>
      <c r="N50" s="7" t="s">
        <v>169</v>
      </c>
    </row>
    <row r="51" customFormat="false" ht="15" hidden="false" customHeight="false" outlineLevel="0" collapsed="false">
      <c r="A51" s="6" t="s">
        <v>116</v>
      </c>
      <c r="B51" s="6" t="s">
        <v>475</v>
      </c>
      <c r="C51" s="6" t="s">
        <v>476</v>
      </c>
      <c r="D51" s="6" t="s">
        <v>200</v>
      </c>
      <c r="E51" s="6" t="n">
        <v>4</v>
      </c>
      <c r="F51" s="6" t="s">
        <v>153</v>
      </c>
      <c r="G51" s="6" t="n">
        <v>28000</v>
      </c>
      <c r="H51" s="6"/>
      <c r="I51" s="6"/>
      <c r="J51" s="6"/>
      <c r="K51" s="6" t="n">
        <v>120</v>
      </c>
      <c r="L51" s="6" t="s">
        <v>390</v>
      </c>
      <c r="M51" s="6" t="s">
        <v>370</v>
      </c>
      <c r="N51" s="6" t="s">
        <v>169</v>
      </c>
    </row>
    <row r="52" customFormat="false" ht="15" hidden="false" customHeight="false" outlineLevel="0" collapsed="false">
      <c r="A52" s="7" t="s">
        <v>116</v>
      </c>
      <c r="B52" s="7" t="s">
        <v>477</v>
      </c>
      <c r="C52" s="7" t="s">
        <v>478</v>
      </c>
      <c r="D52" s="7" t="s">
        <v>192</v>
      </c>
      <c r="E52" s="7" t="n">
        <v>6</v>
      </c>
      <c r="F52" s="7" t="s">
        <v>153</v>
      </c>
      <c r="G52" s="7" t="n">
        <v>38000</v>
      </c>
      <c r="H52" s="7"/>
      <c r="I52" s="7"/>
      <c r="J52" s="7"/>
      <c r="K52" s="7" t="n">
        <v>120</v>
      </c>
      <c r="L52" s="7" t="s">
        <v>369</v>
      </c>
      <c r="M52" s="7" t="s">
        <v>405</v>
      </c>
      <c r="N52" s="7" t="s">
        <v>169</v>
      </c>
    </row>
    <row r="53" customFormat="false" ht="15" hidden="false" customHeight="false" outlineLevel="0" collapsed="false">
      <c r="A53" s="6" t="s">
        <v>116</v>
      </c>
      <c r="B53" s="6" t="s">
        <v>479</v>
      </c>
      <c r="C53" s="6" t="s">
        <v>480</v>
      </c>
      <c r="D53" s="6" t="s">
        <v>200</v>
      </c>
      <c r="E53" s="6" t="n">
        <v>6</v>
      </c>
      <c r="F53" s="6" t="s">
        <v>153</v>
      </c>
      <c r="G53" s="6" t="n">
        <v>320000</v>
      </c>
      <c r="H53" s="6"/>
      <c r="I53" s="6"/>
      <c r="J53" s="6"/>
      <c r="K53" s="6" t="n">
        <v>270</v>
      </c>
      <c r="L53" s="6" t="s">
        <v>393</v>
      </c>
      <c r="M53" s="6" t="s">
        <v>411</v>
      </c>
      <c r="N53" s="6" t="s">
        <v>169</v>
      </c>
    </row>
    <row r="54" customFormat="false" ht="15" hidden="false" customHeight="false" outlineLevel="0" collapsed="false">
      <c r="A54" s="7" t="s">
        <v>116</v>
      </c>
      <c r="B54" s="7" t="s">
        <v>481</v>
      </c>
      <c r="C54" s="7" t="s">
        <v>482</v>
      </c>
      <c r="D54" s="7" t="s">
        <v>200</v>
      </c>
      <c r="E54" s="7" t="n">
        <v>12</v>
      </c>
      <c r="F54" s="7" t="s">
        <v>153</v>
      </c>
      <c r="G54" s="7" t="n">
        <v>18000</v>
      </c>
      <c r="H54" s="7"/>
      <c r="I54" s="7"/>
      <c r="J54" s="7"/>
      <c r="K54" s="7" t="n">
        <v>90</v>
      </c>
      <c r="L54" s="7" t="s">
        <v>393</v>
      </c>
      <c r="M54" s="7" t="s">
        <v>411</v>
      </c>
      <c r="N54" s="7" t="s">
        <v>169</v>
      </c>
    </row>
    <row r="55" customFormat="false" ht="15" hidden="false" customHeight="false" outlineLevel="0" collapsed="false">
      <c r="A55" s="6" t="s">
        <v>116</v>
      </c>
      <c r="B55" s="6" t="s">
        <v>483</v>
      </c>
      <c r="C55" s="6" t="s">
        <v>484</v>
      </c>
      <c r="D55" s="6" t="s">
        <v>200</v>
      </c>
      <c r="E55" s="6" t="n">
        <v>18</v>
      </c>
      <c r="F55" s="6" t="s">
        <v>213</v>
      </c>
      <c r="G55" s="6" t="n">
        <v>280000</v>
      </c>
      <c r="H55" s="6"/>
      <c r="I55" s="6"/>
      <c r="J55" s="6"/>
      <c r="K55" s="6" t="n">
        <v>120</v>
      </c>
      <c r="L55" s="6" t="s">
        <v>410</v>
      </c>
      <c r="M55" s="6" t="s">
        <v>411</v>
      </c>
      <c r="N55" s="6" t="s">
        <v>169</v>
      </c>
    </row>
    <row r="56" customFormat="false" ht="15" hidden="false" customHeight="false" outlineLevel="0" collapsed="false">
      <c r="A56" s="7" t="s">
        <v>116</v>
      </c>
      <c r="B56" s="7" t="s">
        <v>485</v>
      </c>
      <c r="C56" s="7" t="s">
        <v>486</v>
      </c>
      <c r="D56" s="7" t="s">
        <v>266</v>
      </c>
      <c r="E56" s="7" t="n">
        <v>8400</v>
      </c>
      <c r="F56" s="7" t="s">
        <v>179</v>
      </c>
      <c r="G56" s="7" t="n">
        <v>28</v>
      </c>
      <c r="H56" s="7"/>
      <c r="I56" s="7"/>
      <c r="J56" s="7"/>
      <c r="K56" s="7" t="n">
        <v>30</v>
      </c>
      <c r="L56" s="7" t="s">
        <v>219</v>
      </c>
      <c r="M56" s="7" t="s">
        <v>487</v>
      </c>
      <c r="N56" s="7" t="s">
        <v>169</v>
      </c>
    </row>
    <row r="57" customFormat="false" ht="15" hidden="false" customHeight="false" outlineLevel="0" collapsed="false">
      <c r="A57" s="6" t="s">
        <v>116</v>
      </c>
      <c r="B57" s="6" t="s">
        <v>488</v>
      </c>
      <c r="C57" s="6" t="s">
        <v>489</v>
      </c>
      <c r="D57" s="6" t="s">
        <v>266</v>
      </c>
      <c r="E57" s="6" t="n">
        <v>28000</v>
      </c>
      <c r="F57" s="6" t="s">
        <v>263</v>
      </c>
      <c r="G57" s="6" t="n">
        <v>12</v>
      </c>
      <c r="H57" s="6"/>
      <c r="I57" s="6"/>
      <c r="J57" s="6"/>
      <c r="K57" s="6" t="n">
        <v>15</v>
      </c>
      <c r="L57" s="6" t="s">
        <v>490</v>
      </c>
      <c r="M57" s="6" t="s">
        <v>487</v>
      </c>
      <c r="N57" s="6" t="s">
        <v>169</v>
      </c>
    </row>
    <row r="58" customFormat="false" ht="15" hidden="false" customHeight="false" outlineLevel="0" collapsed="false">
      <c r="A58" s="7" t="s">
        <v>116</v>
      </c>
      <c r="B58" s="7" t="s">
        <v>491</v>
      </c>
      <c r="C58" s="7" t="s">
        <v>492</v>
      </c>
      <c r="D58" s="7" t="s">
        <v>266</v>
      </c>
      <c r="E58" s="7" t="n">
        <v>280</v>
      </c>
      <c r="F58" s="7" t="s">
        <v>179</v>
      </c>
      <c r="G58" s="7" t="n">
        <v>480</v>
      </c>
      <c r="H58" s="7"/>
      <c r="I58" s="7"/>
      <c r="J58" s="7"/>
      <c r="K58" s="7" t="n">
        <v>60</v>
      </c>
      <c r="L58" s="7" t="s">
        <v>232</v>
      </c>
      <c r="M58" s="7" t="s">
        <v>487</v>
      </c>
      <c r="N58" s="7" t="s">
        <v>169</v>
      </c>
    </row>
    <row r="59" customFormat="false" ht="15" hidden="false" customHeight="false" outlineLevel="0" collapsed="false">
      <c r="A59" s="6" t="s">
        <v>116</v>
      </c>
      <c r="B59" s="6" t="s">
        <v>493</v>
      </c>
      <c r="C59" s="6" t="s">
        <v>494</v>
      </c>
      <c r="D59" s="6" t="s">
        <v>273</v>
      </c>
      <c r="E59" s="6" t="n">
        <v>6</v>
      </c>
      <c r="F59" s="6" t="s">
        <v>153</v>
      </c>
      <c r="G59" s="6" t="n">
        <v>18000</v>
      </c>
      <c r="H59" s="6"/>
      <c r="I59" s="6"/>
      <c r="J59" s="6"/>
      <c r="K59" s="6" t="n">
        <v>45</v>
      </c>
      <c r="L59" s="6" t="s">
        <v>219</v>
      </c>
      <c r="M59" s="6" t="s">
        <v>487</v>
      </c>
      <c r="N59" s="6" t="s">
        <v>169</v>
      </c>
    </row>
    <row r="60" customFormat="false" ht="15" hidden="false" customHeight="false" outlineLevel="0" collapsed="false">
      <c r="A60" s="7" t="s">
        <v>116</v>
      </c>
      <c r="B60" s="7" t="s">
        <v>495</v>
      </c>
      <c r="C60" s="7" t="s">
        <v>496</v>
      </c>
      <c r="D60" s="7" t="s">
        <v>266</v>
      </c>
      <c r="E60" s="7" t="n">
        <v>4</v>
      </c>
      <c r="F60" s="7" t="s">
        <v>153</v>
      </c>
      <c r="G60" s="7" t="n">
        <v>240000</v>
      </c>
      <c r="H60" s="7"/>
      <c r="I60" s="7"/>
      <c r="J60" s="7"/>
      <c r="K60" s="7" t="n">
        <v>90</v>
      </c>
      <c r="L60" s="7" t="s">
        <v>232</v>
      </c>
      <c r="M60" s="7" t="s">
        <v>466</v>
      </c>
      <c r="N60" s="7" t="s">
        <v>169</v>
      </c>
    </row>
    <row r="61" customFormat="false" ht="15" hidden="false" customHeight="false" outlineLevel="0" collapsed="false">
      <c r="A61" s="6" t="s">
        <v>116</v>
      </c>
      <c r="B61" s="6" t="s">
        <v>497</v>
      </c>
      <c r="C61" s="6" t="s">
        <v>498</v>
      </c>
      <c r="D61" s="6" t="s">
        <v>273</v>
      </c>
      <c r="E61" s="6" t="n">
        <v>8</v>
      </c>
      <c r="F61" s="6" t="s">
        <v>263</v>
      </c>
      <c r="G61" s="6" t="n">
        <v>4200</v>
      </c>
      <c r="H61" s="6"/>
      <c r="I61" s="6"/>
      <c r="J61" s="6"/>
      <c r="K61" s="6" t="n">
        <v>30</v>
      </c>
      <c r="L61" s="6" t="s">
        <v>219</v>
      </c>
      <c r="M61" s="6" t="s">
        <v>466</v>
      </c>
      <c r="N61" s="6" t="s">
        <v>169</v>
      </c>
    </row>
    <row r="62" customFormat="false" ht="15" hidden="false" customHeight="false" outlineLevel="0" collapsed="false">
      <c r="A62" s="7" t="s">
        <v>116</v>
      </c>
      <c r="B62" s="7" t="s">
        <v>499</v>
      </c>
      <c r="C62" s="7" t="s">
        <v>500</v>
      </c>
      <c r="D62" s="7" t="s">
        <v>361</v>
      </c>
      <c r="E62" s="7" t="n">
        <v>12</v>
      </c>
      <c r="F62" s="7" t="s">
        <v>153</v>
      </c>
      <c r="G62" s="7" t="n">
        <v>28000</v>
      </c>
      <c r="H62" s="7" t="s">
        <v>382</v>
      </c>
      <c r="I62" s="7"/>
      <c r="J62" s="7"/>
      <c r="K62" s="7" t="n">
        <v>150</v>
      </c>
      <c r="L62" s="7" t="s">
        <v>365</v>
      </c>
      <c r="M62" s="7" t="s">
        <v>366</v>
      </c>
      <c r="N62" s="7" t="s">
        <v>169</v>
      </c>
    </row>
    <row r="63" customFormat="false" ht="15" hidden="false" customHeight="false" outlineLevel="0" collapsed="false">
      <c r="A63" s="6" t="s">
        <v>116</v>
      </c>
      <c r="B63" s="6" t="s">
        <v>501</v>
      </c>
      <c r="C63" s="6" t="s">
        <v>502</v>
      </c>
      <c r="D63" s="6" t="s">
        <v>387</v>
      </c>
      <c r="E63" s="6" t="n">
        <v>2</v>
      </c>
      <c r="F63" s="6" t="s">
        <v>153</v>
      </c>
      <c r="G63" s="6" t="n">
        <v>145000</v>
      </c>
      <c r="H63" s="6" t="s">
        <v>388</v>
      </c>
      <c r="I63" s="6"/>
      <c r="J63" s="6"/>
      <c r="K63" s="6" t="n">
        <v>240</v>
      </c>
      <c r="L63" s="6" t="s">
        <v>365</v>
      </c>
      <c r="M63" s="6" t="s">
        <v>370</v>
      </c>
      <c r="N63" s="6" t="s">
        <v>169</v>
      </c>
    </row>
    <row r="64" customFormat="false" ht="15" hidden="false" customHeight="false" outlineLevel="0" collapsed="false">
      <c r="A64" s="7" t="s">
        <v>116</v>
      </c>
      <c r="B64" s="7" t="s">
        <v>503</v>
      </c>
      <c r="C64" s="7" t="s">
        <v>504</v>
      </c>
      <c r="D64" s="7" t="s">
        <v>387</v>
      </c>
      <c r="E64" s="7" t="n">
        <v>4</v>
      </c>
      <c r="F64" s="7" t="s">
        <v>153</v>
      </c>
      <c r="G64" s="7" t="n">
        <v>86000</v>
      </c>
      <c r="H64" s="7" t="s">
        <v>388</v>
      </c>
      <c r="I64" s="7"/>
      <c r="J64" s="7"/>
      <c r="K64" s="7" t="n">
        <v>240</v>
      </c>
      <c r="L64" s="7" t="s">
        <v>365</v>
      </c>
      <c r="M64" s="7" t="s">
        <v>370</v>
      </c>
      <c r="N64" s="7" t="s">
        <v>169</v>
      </c>
    </row>
    <row r="65" customFormat="false" ht="15" hidden="false" customHeight="false" outlineLevel="0" collapsed="false">
      <c r="A65" s="6" t="s">
        <v>116</v>
      </c>
      <c r="B65" s="6" t="s">
        <v>505</v>
      </c>
      <c r="C65" s="6" t="s">
        <v>506</v>
      </c>
      <c r="D65" s="6" t="s">
        <v>152</v>
      </c>
      <c r="E65" s="6" t="n">
        <v>4</v>
      </c>
      <c r="F65" s="6" t="s">
        <v>153</v>
      </c>
      <c r="G65" s="6" t="n">
        <v>38000</v>
      </c>
      <c r="H65" s="6"/>
      <c r="I65" s="6"/>
      <c r="J65" s="6"/>
      <c r="K65" s="6" t="n">
        <v>120</v>
      </c>
      <c r="L65" s="6" t="s">
        <v>365</v>
      </c>
      <c r="M65" s="6" t="s">
        <v>370</v>
      </c>
      <c r="N65" s="6" t="s">
        <v>169</v>
      </c>
    </row>
    <row r="66" customFormat="false" ht="15" hidden="false" customHeight="false" outlineLevel="0" collapsed="false">
      <c r="A66" s="7" t="s">
        <v>116</v>
      </c>
      <c r="B66" s="7" t="s">
        <v>507</v>
      </c>
      <c r="C66" s="7" t="s">
        <v>508</v>
      </c>
      <c r="D66" s="7" t="s">
        <v>152</v>
      </c>
      <c r="E66" s="7" t="n">
        <v>6</v>
      </c>
      <c r="F66" s="7" t="s">
        <v>153</v>
      </c>
      <c r="G66" s="7" t="n">
        <v>18000</v>
      </c>
      <c r="H66" s="7"/>
      <c r="I66" s="7"/>
      <c r="J66" s="7"/>
      <c r="K66" s="7" t="n">
        <v>90</v>
      </c>
      <c r="L66" s="7" t="s">
        <v>365</v>
      </c>
      <c r="M66" s="7" t="s">
        <v>370</v>
      </c>
      <c r="N66" s="7" t="s">
        <v>169</v>
      </c>
    </row>
    <row r="67" customFormat="false" ht="15" hidden="false" customHeight="false" outlineLevel="0" collapsed="false">
      <c r="A67" s="6" t="s">
        <v>116</v>
      </c>
      <c r="B67" s="6" t="s">
        <v>509</v>
      </c>
      <c r="C67" s="6" t="s">
        <v>510</v>
      </c>
      <c r="D67" s="6" t="s">
        <v>266</v>
      </c>
      <c r="E67" s="6" t="n">
        <v>4800</v>
      </c>
      <c r="F67" s="6" t="s">
        <v>195</v>
      </c>
      <c r="G67" s="6" t="n">
        <v>22</v>
      </c>
      <c r="H67" s="6"/>
      <c r="I67" s="6"/>
      <c r="J67" s="6"/>
      <c r="K67" s="6" t="n">
        <v>45</v>
      </c>
      <c r="L67" s="6" t="s">
        <v>227</v>
      </c>
      <c r="M67" s="6" t="s">
        <v>511</v>
      </c>
      <c r="N67" s="6" t="s">
        <v>169</v>
      </c>
    </row>
    <row r="68" customFormat="false" ht="15" hidden="false" customHeight="false" outlineLevel="0" collapsed="false">
      <c r="A68" s="7" t="s">
        <v>116</v>
      </c>
      <c r="B68" s="7" t="s">
        <v>512</v>
      </c>
      <c r="C68" s="7" t="s">
        <v>513</v>
      </c>
      <c r="D68" s="7" t="s">
        <v>266</v>
      </c>
      <c r="E68" s="7" t="n">
        <v>18000</v>
      </c>
      <c r="F68" s="7" t="s">
        <v>263</v>
      </c>
      <c r="G68" s="7" t="n">
        <v>28</v>
      </c>
      <c r="H68" s="7"/>
      <c r="I68" s="7"/>
      <c r="J68" s="7"/>
      <c r="K68" s="7" t="n">
        <v>30</v>
      </c>
      <c r="L68" s="7" t="s">
        <v>227</v>
      </c>
      <c r="M68" s="7" t="s">
        <v>511</v>
      </c>
      <c r="N68" s="7" t="s">
        <v>169</v>
      </c>
    </row>
    <row r="69" customFormat="false" ht="15" hidden="false" customHeight="false" outlineLevel="0" collapsed="false">
      <c r="A69" s="6" t="s">
        <v>116</v>
      </c>
      <c r="B69" s="6" t="s">
        <v>514</v>
      </c>
      <c r="C69" s="6" t="s">
        <v>515</v>
      </c>
      <c r="D69" s="6" t="s">
        <v>266</v>
      </c>
      <c r="E69" s="6" t="n">
        <v>8400</v>
      </c>
      <c r="F69" s="6" t="s">
        <v>263</v>
      </c>
      <c r="G69" s="6" t="n">
        <v>720</v>
      </c>
      <c r="H69" s="6"/>
      <c r="I69" s="6"/>
      <c r="J69" s="6"/>
      <c r="K69" s="6" t="n">
        <v>45</v>
      </c>
      <c r="L69" s="6" t="s">
        <v>232</v>
      </c>
      <c r="M69" s="6" t="s">
        <v>457</v>
      </c>
      <c r="N69" s="6" t="s">
        <v>169</v>
      </c>
    </row>
    <row r="70" customFormat="false" ht="15" hidden="false" customHeight="false" outlineLevel="0" collapsed="false">
      <c r="A70" s="7" t="s">
        <v>116</v>
      </c>
      <c r="B70" s="7" t="s">
        <v>516</v>
      </c>
      <c r="C70" s="7" t="s">
        <v>517</v>
      </c>
      <c r="D70" s="7" t="s">
        <v>266</v>
      </c>
      <c r="E70" s="7" t="n">
        <v>240</v>
      </c>
      <c r="F70" s="7" t="s">
        <v>153</v>
      </c>
      <c r="G70" s="7" t="n">
        <v>1800</v>
      </c>
      <c r="H70" s="7"/>
      <c r="I70" s="7"/>
      <c r="J70" s="7"/>
      <c r="K70" s="7" t="n">
        <v>60</v>
      </c>
      <c r="L70" s="7" t="s">
        <v>219</v>
      </c>
      <c r="M70" s="7" t="s">
        <v>466</v>
      </c>
      <c r="N70" s="7" t="s">
        <v>169</v>
      </c>
    </row>
    <row r="71" customFormat="false" ht="15" hidden="false" customHeight="false" outlineLevel="0" collapsed="false">
      <c r="A71" s="6" t="s">
        <v>116</v>
      </c>
      <c r="B71" s="6" t="s">
        <v>518</v>
      </c>
      <c r="C71" s="6" t="s">
        <v>519</v>
      </c>
      <c r="D71" s="6" t="s">
        <v>200</v>
      </c>
      <c r="E71" s="6" t="n">
        <v>48</v>
      </c>
      <c r="F71" s="6" t="s">
        <v>153</v>
      </c>
      <c r="G71" s="6" t="n">
        <v>86000</v>
      </c>
      <c r="H71" s="6"/>
      <c r="I71" s="6"/>
      <c r="J71" s="6"/>
      <c r="K71" s="6" t="n">
        <v>240</v>
      </c>
      <c r="L71" s="6" t="s">
        <v>393</v>
      </c>
      <c r="M71" s="6" t="s">
        <v>411</v>
      </c>
      <c r="N71" s="6" t="s">
        <v>169</v>
      </c>
    </row>
    <row r="72" customFormat="false" ht="15" hidden="false" customHeight="false" outlineLevel="0" collapsed="false">
      <c r="A72" s="7" t="s">
        <v>116</v>
      </c>
      <c r="B72" s="7" t="s">
        <v>520</v>
      </c>
      <c r="C72" s="7" t="s">
        <v>521</v>
      </c>
      <c r="D72" s="7" t="s">
        <v>200</v>
      </c>
      <c r="E72" s="7" t="n">
        <v>480</v>
      </c>
      <c r="F72" s="7" t="s">
        <v>153</v>
      </c>
      <c r="G72" s="7" t="n">
        <v>380</v>
      </c>
      <c r="H72" s="7"/>
      <c r="I72" s="7"/>
      <c r="J72" s="7"/>
      <c r="K72" s="7" t="n">
        <v>150</v>
      </c>
      <c r="L72" s="7" t="s">
        <v>393</v>
      </c>
      <c r="M72" s="7" t="s">
        <v>411</v>
      </c>
      <c r="N72" s="7" t="s">
        <v>169</v>
      </c>
    </row>
    <row r="73" customFormat="false" ht="15" hidden="false" customHeight="false" outlineLevel="0" collapsed="false">
      <c r="A73" s="6" t="s">
        <v>116</v>
      </c>
      <c r="B73" s="6" t="s">
        <v>522</v>
      </c>
      <c r="C73" s="6" t="s">
        <v>523</v>
      </c>
      <c r="D73" s="6" t="s">
        <v>212</v>
      </c>
      <c r="E73" s="6" t="n">
        <v>84</v>
      </c>
      <c r="F73" s="6" t="s">
        <v>213</v>
      </c>
      <c r="G73" s="6" t="n">
        <v>28000</v>
      </c>
      <c r="H73" s="6"/>
      <c r="I73" s="6"/>
      <c r="J73" s="6"/>
      <c r="K73" s="6" t="n">
        <v>180</v>
      </c>
      <c r="L73" s="6" t="s">
        <v>393</v>
      </c>
      <c r="M73" s="6" t="s">
        <v>411</v>
      </c>
      <c r="N73" s="6" t="s">
        <v>169</v>
      </c>
    </row>
    <row r="75" customFormat="false" ht="15" hidden="false" customHeight="false" outlineLevel="0" collapsed="false">
      <c r="A75" s="3" t="s">
        <v>274</v>
      </c>
      <c r="E75" s="0" t="n">
        <f aca="false">COUNTA(B5:B73)</f>
        <v>69</v>
      </c>
      <c r="G75" s="8" t="n">
        <f aca="false">SUMPRODUCT(E5:E73,G5:G73)</f>
        <v>84170400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34"/>
    <col collapsed="false" customWidth="true" hidden="false" outlineLevel="0" max="2" min="2" style="0" width="26"/>
    <col collapsed="false" customWidth="true" hidden="false" outlineLevel="0" max="3" min="3" style="0" width="18"/>
    <col collapsed="false" customWidth="true" hidden="false" outlineLevel="0" max="4" min="4" style="0" width="14"/>
    <col collapsed="false" customWidth="true" hidden="false" outlineLevel="0" max="5" min="5" style="0" width="18"/>
    <col collapsed="false" customWidth="true" hidden="false" outlineLevel="0" max="6" min="6" style="0" width="14"/>
    <col collapsed="false" customWidth="true" hidden="false" outlineLevel="0" max="8" min="7" style="0" width="18"/>
    <col collapsed="false" customWidth="true" hidden="false" outlineLevel="0" max="9" min="9" style="0" width="28"/>
    <col collapsed="false" customWidth="true" hidden="false" outlineLevel="0" max="10" min="10" style="0" width="26"/>
  </cols>
  <sheetData>
    <row r="1" customFormat="false" ht="15" hidden="false" customHeight="false" outlineLevel="0" collapsed="false">
      <c r="A1" s="1" t="s">
        <v>524</v>
      </c>
    </row>
    <row r="2" customFormat="false" ht="19.7" hidden="false" customHeight="false" outlineLevel="0" collapsed="false">
      <c r="A2" s="2" t="s">
        <v>525</v>
      </c>
    </row>
    <row r="4" customFormat="false" ht="21.75" hidden="false" customHeight="true" outlineLevel="0" collapsed="false">
      <c r="A4" s="5" t="s">
        <v>526</v>
      </c>
      <c r="B4" s="5" t="s">
        <v>139</v>
      </c>
      <c r="C4" s="5" t="s">
        <v>527</v>
      </c>
      <c r="D4" s="5" t="s">
        <v>528</v>
      </c>
      <c r="E4" s="5" t="s">
        <v>529</v>
      </c>
      <c r="F4" s="5" t="s">
        <v>530</v>
      </c>
      <c r="G4" s="5" t="s">
        <v>531</v>
      </c>
      <c r="H4" s="5" t="s">
        <v>532</v>
      </c>
      <c r="I4" s="5" t="s">
        <v>533</v>
      </c>
      <c r="J4" s="5" t="s">
        <v>534</v>
      </c>
    </row>
    <row r="5" customFormat="false" ht="15" hidden="false" customHeight="false" outlineLevel="0" collapsed="false">
      <c r="A5" s="6" t="s">
        <v>154</v>
      </c>
      <c r="B5" s="6" t="s">
        <v>184</v>
      </c>
      <c r="C5" s="6" t="s">
        <v>535</v>
      </c>
      <c r="D5" s="6" t="n">
        <v>42</v>
      </c>
      <c r="E5" s="9" t="n">
        <v>88</v>
      </c>
      <c r="F5" s="6" t="n">
        <v>1800</v>
      </c>
      <c r="G5" s="10" t="n">
        <v>740000</v>
      </c>
      <c r="H5" s="6" t="n">
        <v>0</v>
      </c>
      <c r="I5" s="6" t="s">
        <v>536</v>
      </c>
      <c r="J5" s="6" t="s">
        <v>77</v>
      </c>
    </row>
    <row r="6" customFormat="false" ht="15" hidden="false" customHeight="false" outlineLevel="0" collapsed="false">
      <c r="A6" s="7" t="s">
        <v>201</v>
      </c>
      <c r="B6" s="7" t="s">
        <v>537</v>
      </c>
      <c r="C6" s="7" t="s">
        <v>538</v>
      </c>
      <c r="D6" s="7" t="n">
        <v>55</v>
      </c>
      <c r="E6" s="11" t="n">
        <v>93</v>
      </c>
      <c r="F6" s="7" t="n">
        <v>650</v>
      </c>
      <c r="G6" s="12" t="n">
        <v>1280000</v>
      </c>
      <c r="H6" s="7" t="n">
        <v>1</v>
      </c>
      <c r="I6" s="7" t="s">
        <v>539</v>
      </c>
      <c r="J6" s="7" t="s">
        <v>540</v>
      </c>
    </row>
    <row r="7" customFormat="false" ht="15" hidden="false" customHeight="false" outlineLevel="0" collapsed="false">
      <c r="A7" s="6" t="s">
        <v>180</v>
      </c>
      <c r="B7" s="6" t="s">
        <v>541</v>
      </c>
      <c r="C7" s="6" t="s">
        <v>542</v>
      </c>
      <c r="D7" s="6" t="n">
        <v>28</v>
      </c>
      <c r="E7" s="9" t="n">
        <v>97</v>
      </c>
      <c r="F7" s="6" t="n">
        <v>300</v>
      </c>
      <c r="G7" s="10" t="n">
        <v>510000</v>
      </c>
      <c r="H7" s="6" t="n">
        <v>2</v>
      </c>
      <c r="I7" s="6"/>
      <c r="J7" s="6" t="s">
        <v>540</v>
      </c>
    </row>
    <row r="8" customFormat="false" ht="15" hidden="false" customHeight="false" outlineLevel="0" collapsed="false">
      <c r="A8" s="7" t="s">
        <v>163</v>
      </c>
      <c r="B8" s="7" t="s">
        <v>184</v>
      </c>
      <c r="C8" s="7" t="s">
        <v>535</v>
      </c>
      <c r="D8" s="7" t="n">
        <v>56</v>
      </c>
      <c r="E8" s="11" t="n">
        <v>91</v>
      </c>
      <c r="F8" s="7" t="n">
        <v>1400</v>
      </c>
      <c r="G8" s="12" t="n">
        <v>180000</v>
      </c>
      <c r="H8" s="7" t="n">
        <v>1</v>
      </c>
      <c r="I8" s="7" t="s">
        <v>543</v>
      </c>
      <c r="J8" s="7" t="s">
        <v>77</v>
      </c>
    </row>
    <row r="9" customFormat="false" ht="15" hidden="false" customHeight="false" outlineLevel="0" collapsed="false">
      <c r="A9" s="6" t="s">
        <v>193</v>
      </c>
      <c r="B9" s="6" t="s">
        <v>537</v>
      </c>
      <c r="C9" s="6" t="s">
        <v>544</v>
      </c>
      <c r="D9" s="6" t="n">
        <v>62</v>
      </c>
      <c r="E9" s="9" t="n">
        <v>96</v>
      </c>
      <c r="F9" s="6" t="n">
        <v>420</v>
      </c>
      <c r="G9" s="10" t="n">
        <v>320000</v>
      </c>
      <c r="H9" s="6" t="n">
        <v>2</v>
      </c>
      <c r="I9" s="6"/>
      <c r="J9" s="6" t="s">
        <v>77</v>
      </c>
    </row>
    <row r="10" customFormat="false" ht="15" hidden="false" customHeight="false" outlineLevel="0" collapsed="false">
      <c r="A10" s="7" t="s">
        <v>218</v>
      </c>
      <c r="B10" s="7" t="s">
        <v>541</v>
      </c>
      <c r="C10" s="7" t="s">
        <v>535</v>
      </c>
      <c r="D10" s="7" t="n">
        <v>24</v>
      </c>
      <c r="E10" s="11" t="n">
        <v>94</v>
      </c>
      <c r="F10" s="7" t="n">
        <v>520</v>
      </c>
      <c r="G10" s="12" t="n">
        <v>210000</v>
      </c>
      <c r="H10" s="7" t="n">
        <v>1</v>
      </c>
      <c r="I10" s="7" t="s">
        <v>545</v>
      </c>
      <c r="J10" s="7" t="s">
        <v>77</v>
      </c>
    </row>
    <row r="11" customFormat="false" ht="15" hidden="false" customHeight="false" outlineLevel="0" collapsed="false">
      <c r="A11" s="6" t="s">
        <v>287</v>
      </c>
      <c r="B11" s="6" t="s">
        <v>286</v>
      </c>
      <c r="C11" s="6" t="s">
        <v>546</v>
      </c>
      <c r="D11" s="6" t="n">
        <v>180</v>
      </c>
      <c r="E11" s="9" t="n">
        <v>92</v>
      </c>
      <c r="F11" s="6" t="n">
        <v>410</v>
      </c>
      <c r="G11" s="10" t="n">
        <v>4200000</v>
      </c>
      <c r="H11" s="6" t="n">
        <v>1</v>
      </c>
      <c r="I11" s="6" t="s">
        <v>547</v>
      </c>
      <c r="J11" s="6" t="s">
        <v>96</v>
      </c>
    </row>
    <row r="12" customFormat="false" ht="15" hidden="false" customHeight="false" outlineLevel="0" collapsed="false">
      <c r="A12" s="7" t="s">
        <v>317</v>
      </c>
      <c r="B12" s="7" t="s">
        <v>316</v>
      </c>
      <c r="C12" s="7" t="s">
        <v>548</v>
      </c>
      <c r="D12" s="7" t="n">
        <v>84</v>
      </c>
      <c r="E12" s="11" t="n">
        <v>89</v>
      </c>
      <c r="F12" s="7" t="n">
        <v>820</v>
      </c>
      <c r="G12" s="12" t="n">
        <v>860000</v>
      </c>
      <c r="H12" s="7" t="n">
        <v>0</v>
      </c>
      <c r="I12" s="7" t="s">
        <v>549</v>
      </c>
      <c r="J12" s="7" t="s">
        <v>96</v>
      </c>
    </row>
    <row r="13" customFormat="false" ht="15" hidden="false" customHeight="false" outlineLevel="0" collapsed="false">
      <c r="A13" s="6" t="s">
        <v>311</v>
      </c>
      <c r="B13" s="6" t="s">
        <v>309</v>
      </c>
      <c r="C13" s="6" t="s">
        <v>550</v>
      </c>
      <c r="D13" s="6" t="n">
        <v>35</v>
      </c>
      <c r="E13" s="9" t="n">
        <v>95</v>
      </c>
      <c r="F13" s="6" t="n">
        <v>280</v>
      </c>
      <c r="G13" s="10" t="n">
        <v>240000</v>
      </c>
      <c r="H13" s="6" t="n">
        <v>2</v>
      </c>
      <c r="I13" s="6"/>
      <c r="J13" s="6" t="s">
        <v>96</v>
      </c>
    </row>
    <row r="14" customFormat="false" ht="15" hidden="false" customHeight="false" outlineLevel="0" collapsed="false">
      <c r="A14" s="7" t="s">
        <v>302</v>
      </c>
      <c r="B14" s="7" t="s">
        <v>301</v>
      </c>
      <c r="C14" s="7" t="s">
        <v>548</v>
      </c>
      <c r="D14" s="7" t="n">
        <v>140</v>
      </c>
      <c r="E14" s="11" t="n">
        <v>86</v>
      </c>
      <c r="F14" s="7" t="n">
        <v>1100</v>
      </c>
      <c r="G14" s="12" t="n">
        <v>2900000</v>
      </c>
      <c r="H14" s="7" t="n">
        <v>1</v>
      </c>
      <c r="I14" s="7" t="s">
        <v>551</v>
      </c>
      <c r="J14" s="7" t="s">
        <v>96</v>
      </c>
    </row>
    <row r="15" customFormat="false" ht="15" hidden="false" customHeight="false" outlineLevel="0" collapsed="false">
      <c r="A15" s="6" t="s">
        <v>362</v>
      </c>
      <c r="B15" s="6" t="s">
        <v>361</v>
      </c>
      <c r="C15" s="6" t="s">
        <v>552</v>
      </c>
      <c r="D15" s="6" t="n">
        <v>420</v>
      </c>
      <c r="E15" s="9" t="n">
        <v>94</v>
      </c>
      <c r="F15" s="6" t="n">
        <v>180</v>
      </c>
      <c r="G15" s="10" t="n">
        <v>6800000</v>
      </c>
      <c r="H15" s="6" t="n">
        <v>0</v>
      </c>
      <c r="I15" s="6" t="s">
        <v>553</v>
      </c>
      <c r="J15" s="6" t="s">
        <v>115</v>
      </c>
    </row>
    <row r="16" customFormat="false" ht="15" hidden="false" customHeight="false" outlineLevel="0" collapsed="false">
      <c r="A16" s="7" t="s">
        <v>554</v>
      </c>
      <c r="B16" s="7" t="s">
        <v>555</v>
      </c>
      <c r="C16" s="7" t="s">
        <v>538</v>
      </c>
      <c r="D16" s="7" t="n">
        <v>110</v>
      </c>
      <c r="E16" s="11" t="n">
        <v>92</v>
      </c>
      <c r="F16" s="7" t="n">
        <v>320</v>
      </c>
      <c r="G16" s="12" t="n">
        <v>1500000</v>
      </c>
      <c r="H16" s="7" t="n">
        <v>2</v>
      </c>
      <c r="I16" s="7"/>
      <c r="J16" s="7" t="s">
        <v>115</v>
      </c>
    </row>
    <row r="17" customFormat="false" ht="15" hidden="false" customHeight="false" outlineLevel="0" collapsed="false">
      <c r="A17" s="6" t="s">
        <v>388</v>
      </c>
      <c r="B17" s="6" t="s">
        <v>387</v>
      </c>
      <c r="C17" s="6" t="s">
        <v>535</v>
      </c>
      <c r="D17" s="6" t="n">
        <v>300</v>
      </c>
      <c r="E17" s="9" t="n">
        <v>88</v>
      </c>
      <c r="F17" s="6" t="n">
        <v>520</v>
      </c>
      <c r="G17" s="10" t="n">
        <v>4100000</v>
      </c>
      <c r="H17" s="6" t="n">
        <v>1</v>
      </c>
      <c r="I17" s="6" t="s">
        <v>543</v>
      </c>
      <c r="J17" s="6" t="s">
        <v>115</v>
      </c>
    </row>
    <row r="18" customFormat="false" ht="15" hidden="false" customHeight="false" outlineLevel="0" collapsed="false">
      <c r="A18" s="7" t="s">
        <v>382</v>
      </c>
      <c r="B18" s="7" t="s">
        <v>422</v>
      </c>
      <c r="C18" s="7" t="s">
        <v>538</v>
      </c>
      <c r="D18" s="7" t="n">
        <v>240</v>
      </c>
      <c r="E18" s="11" t="n">
        <v>91</v>
      </c>
      <c r="F18" s="7" t="n">
        <v>410</v>
      </c>
      <c r="G18" s="12" t="n">
        <v>2200000</v>
      </c>
      <c r="H18" s="7" t="n">
        <v>1</v>
      </c>
      <c r="I18" s="7" t="s">
        <v>556</v>
      </c>
      <c r="J18" s="7" t="s">
        <v>115</v>
      </c>
    </row>
    <row r="19" customFormat="false" ht="15" hidden="false" customHeight="false" outlineLevel="0" collapsed="false">
      <c r="A19" s="6" t="s">
        <v>557</v>
      </c>
      <c r="B19" s="6" t="s">
        <v>555</v>
      </c>
      <c r="C19" s="6" t="s">
        <v>535</v>
      </c>
      <c r="D19" s="6" t="n">
        <v>90</v>
      </c>
      <c r="E19" s="9" t="n">
        <v>89</v>
      </c>
      <c r="F19" s="6" t="n">
        <v>720</v>
      </c>
      <c r="G19" s="10" t="n">
        <v>0</v>
      </c>
      <c r="H19" s="6" t="n">
        <v>2</v>
      </c>
      <c r="I19" s="6" t="s">
        <v>545</v>
      </c>
      <c r="J19" s="6" t="s">
        <v>558</v>
      </c>
    </row>
    <row r="20" customFormat="false" ht="15" hidden="false" customHeight="false" outlineLevel="0" collapsed="false">
      <c r="A20" s="7" t="s">
        <v>559</v>
      </c>
      <c r="B20" s="7" t="s">
        <v>224</v>
      </c>
      <c r="C20" s="7" t="s">
        <v>560</v>
      </c>
      <c r="D20" s="7" t="n">
        <v>90</v>
      </c>
      <c r="E20" s="11" t="n">
        <v>95</v>
      </c>
      <c r="F20" s="7" t="n">
        <v>200</v>
      </c>
      <c r="G20" s="12" t="n">
        <v>0</v>
      </c>
      <c r="H20" s="7" t="n">
        <v>3</v>
      </c>
      <c r="I20" s="7"/>
      <c r="J20" s="7" t="s">
        <v>561</v>
      </c>
    </row>
    <row r="21" customFormat="false" ht="15" hidden="false" customHeight="false" outlineLevel="0" collapsed="false">
      <c r="A21" s="6" t="s">
        <v>562</v>
      </c>
      <c r="B21" s="6" t="s">
        <v>563</v>
      </c>
      <c r="C21" s="6" t="s">
        <v>564</v>
      </c>
      <c r="D21" s="6" t="n">
        <v>14</v>
      </c>
      <c r="E21" s="9" t="n">
        <v>92</v>
      </c>
      <c r="F21" s="6" t="n">
        <v>0</v>
      </c>
      <c r="G21" s="10" t="n">
        <v>0</v>
      </c>
      <c r="H21" s="6" t="n">
        <v>5</v>
      </c>
      <c r="I21" s="6"/>
      <c r="J21" s="6" t="s">
        <v>561</v>
      </c>
    </row>
    <row r="22" customFormat="false" ht="15" hidden="false" customHeight="false" outlineLevel="0" collapsed="false">
      <c r="A22" s="7" t="s">
        <v>565</v>
      </c>
      <c r="B22" s="7" t="s">
        <v>152</v>
      </c>
      <c r="C22" s="7" t="s">
        <v>566</v>
      </c>
      <c r="D22" s="7" t="n">
        <v>150</v>
      </c>
      <c r="E22" s="11" t="n">
        <v>87</v>
      </c>
      <c r="F22" s="7" t="n">
        <v>980</v>
      </c>
      <c r="G22" s="12" t="n">
        <v>0</v>
      </c>
      <c r="H22" s="7" t="n">
        <v>2</v>
      </c>
      <c r="I22" s="7" t="s">
        <v>567</v>
      </c>
      <c r="J22" s="7" t="s">
        <v>561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6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8"/>
    <col collapsed="false" customWidth="true" hidden="false" outlineLevel="0" max="2" min="2" style="0" width="30"/>
    <col collapsed="false" customWidth="true" hidden="false" outlineLevel="0" max="3" min="3" style="0" width="26"/>
    <col collapsed="false" customWidth="true" hidden="false" outlineLevel="0" max="5" min="4" style="0" width="60"/>
    <col collapsed="false" customWidth="true" hidden="false" outlineLevel="0" max="6" min="6" style="0" width="12"/>
    <col collapsed="false" customWidth="true" hidden="false" outlineLevel="0" max="7" min="7" style="0" width="10"/>
  </cols>
  <sheetData>
    <row r="1" customFormat="false" ht="15" hidden="false" customHeight="false" outlineLevel="0" collapsed="false">
      <c r="A1" s="1" t="s">
        <v>568</v>
      </c>
    </row>
    <row r="2" customFormat="false" ht="19.7" hidden="false" customHeight="false" outlineLevel="0" collapsed="false">
      <c r="A2" s="2" t="s">
        <v>569</v>
      </c>
    </row>
    <row r="4" customFormat="false" ht="21.75" hidden="false" customHeight="true" outlineLevel="0" collapsed="false">
      <c r="A4" s="5" t="s">
        <v>570</v>
      </c>
      <c r="B4" s="5" t="s">
        <v>571</v>
      </c>
      <c r="C4" s="5" t="s">
        <v>572</v>
      </c>
      <c r="D4" s="5" t="s">
        <v>573</v>
      </c>
      <c r="E4" s="5" t="s">
        <v>574</v>
      </c>
      <c r="F4" s="5" t="s">
        <v>575</v>
      </c>
      <c r="G4" s="5" t="s">
        <v>576</v>
      </c>
    </row>
    <row r="5" customFormat="false" ht="15" hidden="false" customHeight="false" outlineLevel="0" collapsed="false">
      <c r="A5" s="6" t="s">
        <v>577</v>
      </c>
      <c r="B5" s="6" t="s">
        <v>578</v>
      </c>
      <c r="C5" s="6" t="s">
        <v>579</v>
      </c>
      <c r="D5" s="6" t="s">
        <v>580</v>
      </c>
      <c r="E5" s="6" t="s">
        <v>581</v>
      </c>
      <c r="F5" s="6" t="s">
        <v>582</v>
      </c>
      <c r="G5" s="6"/>
    </row>
    <row r="6" customFormat="false" ht="15" hidden="false" customHeight="false" outlineLevel="0" collapsed="false">
      <c r="A6" s="7" t="s">
        <v>583</v>
      </c>
      <c r="B6" s="7" t="s">
        <v>584</v>
      </c>
      <c r="C6" s="7" t="s">
        <v>20</v>
      </c>
      <c r="D6" s="7" t="s">
        <v>585</v>
      </c>
      <c r="E6" s="7" t="s">
        <v>586</v>
      </c>
      <c r="F6" s="7" t="s">
        <v>582</v>
      </c>
      <c r="G6" s="7"/>
    </row>
    <row r="7" customFormat="false" ht="15" hidden="false" customHeight="false" outlineLevel="0" collapsed="false">
      <c r="A7" s="6" t="s">
        <v>587</v>
      </c>
      <c r="B7" s="6" t="s">
        <v>588</v>
      </c>
      <c r="C7" s="6" t="s">
        <v>31</v>
      </c>
      <c r="D7" s="6" t="s">
        <v>589</v>
      </c>
      <c r="E7" s="6" t="s">
        <v>590</v>
      </c>
      <c r="F7" s="6" t="s">
        <v>582</v>
      </c>
      <c r="G7" s="6"/>
    </row>
    <row r="8" customFormat="false" ht="23.85" hidden="false" customHeight="false" outlineLevel="0" collapsed="false">
      <c r="A8" s="7" t="s">
        <v>591</v>
      </c>
      <c r="B8" s="7" t="s">
        <v>592</v>
      </c>
      <c r="C8" s="7" t="s">
        <v>593</v>
      </c>
      <c r="D8" s="7" t="s">
        <v>594</v>
      </c>
      <c r="E8" s="7" t="s">
        <v>595</v>
      </c>
      <c r="F8" s="7" t="s">
        <v>582</v>
      </c>
      <c r="G8" s="7"/>
    </row>
    <row r="9" customFormat="false" ht="15" hidden="false" customHeight="false" outlineLevel="0" collapsed="false">
      <c r="A9" s="6" t="s">
        <v>596</v>
      </c>
      <c r="B9" s="6" t="s">
        <v>597</v>
      </c>
      <c r="C9" s="6" t="s">
        <v>598</v>
      </c>
      <c r="D9" s="6" t="s">
        <v>599</v>
      </c>
      <c r="E9" s="6" t="s">
        <v>600</v>
      </c>
      <c r="F9" s="6" t="s">
        <v>582</v>
      </c>
      <c r="G9" s="6"/>
    </row>
    <row r="10" customFormat="false" ht="15" hidden="false" customHeight="false" outlineLevel="0" collapsed="false">
      <c r="A10" s="7" t="s">
        <v>601</v>
      </c>
      <c r="B10" s="7" t="s">
        <v>602</v>
      </c>
      <c r="C10" s="7" t="s">
        <v>20</v>
      </c>
      <c r="D10" s="7" t="s">
        <v>603</v>
      </c>
      <c r="E10" s="7" t="s">
        <v>604</v>
      </c>
      <c r="F10" s="7" t="s">
        <v>605</v>
      </c>
      <c r="G10" s="7"/>
    </row>
    <row r="11" customFormat="false" ht="15" hidden="false" customHeight="false" outlineLevel="0" collapsed="false">
      <c r="A11" s="6" t="s">
        <v>606</v>
      </c>
      <c r="B11" s="6" t="s">
        <v>607</v>
      </c>
      <c r="C11" s="6" t="s">
        <v>579</v>
      </c>
      <c r="D11" s="6" t="s">
        <v>608</v>
      </c>
      <c r="E11" s="6" t="s">
        <v>609</v>
      </c>
      <c r="F11" s="6" t="s">
        <v>582</v>
      </c>
      <c r="G11" s="6"/>
    </row>
    <row r="12" customFormat="false" ht="15" hidden="false" customHeight="false" outlineLevel="0" collapsed="false">
      <c r="A12" s="7" t="s">
        <v>610</v>
      </c>
      <c r="B12" s="7" t="s">
        <v>611</v>
      </c>
      <c r="C12" s="7" t="s">
        <v>31</v>
      </c>
      <c r="D12" s="7" t="s">
        <v>612</v>
      </c>
      <c r="E12" s="7" t="s">
        <v>613</v>
      </c>
      <c r="F12" s="7" t="s">
        <v>582</v>
      </c>
      <c r="G12" s="7"/>
    </row>
    <row r="13" customFormat="false" ht="15" hidden="false" customHeight="false" outlineLevel="0" collapsed="false">
      <c r="A13" s="6" t="s">
        <v>614</v>
      </c>
      <c r="B13" s="6" t="s">
        <v>615</v>
      </c>
      <c r="C13" s="6" t="s">
        <v>62</v>
      </c>
      <c r="D13" s="6" t="s">
        <v>616</v>
      </c>
      <c r="E13" s="6" t="s">
        <v>617</v>
      </c>
      <c r="F13" s="6" t="s">
        <v>582</v>
      </c>
      <c r="G13" s="6"/>
    </row>
    <row r="14" customFormat="false" ht="23.85" hidden="false" customHeight="false" outlineLevel="0" collapsed="false">
      <c r="A14" s="7" t="s">
        <v>618</v>
      </c>
      <c r="B14" s="7" t="s">
        <v>619</v>
      </c>
      <c r="C14" s="7" t="s">
        <v>579</v>
      </c>
      <c r="D14" s="7" t="s">
        <v>620</v>
      </c>
      <c r="E14" s="7" t="s">
        <v>621</v>
      </c>
      <c r="F14" s="7" t="s">
        <v>582</v>
      </c>
      <c r="G14" s="7"/>
    </row>
    <row r="15" customFormat="false" ht="15" hidden="false" customHeight="false" outlineLevel="0" collapsed="false">
      <c r="A15" s="6" t="s">
        <v>622</v>
      </c>
      <c r="B15" s="6" t="s">
        <v>623</v>
      </c>
      <c r="C15" s="6" t="s">
        <v>579</v>
      </c>
      <c r="D15" s="6" t="s">
        <v>624</v>
      </c>
      <c r="E15" s="6" t="s">
        <v>625</v>
      </c>
      <c r="F15" s="6" t="s">
        <v>605</v>
      </c>
      <c r="G15" s="6"/>
    </row>
    <row r="16" customFormat="false" ht="15" hidden="false" customHeight="false" outlineLevel="0" collapsed="false">
      <c r="A16" s="7" t="s">
        <v>626</v>
      </c>
      <c r="B16" s="7" t="s">
        <v>627</v>
      </c>
      <c r="C16" s="7" t="s">
        <v>579</v>
      </c>
      <c r="D16" s="7" t="s">
        <v>628</v>
      </c>
      <c r="E16" s="7" t="s">
        <v>629</v>
      </c>
      <c r="F16" s="7" t="s">
        <v>605</v>
      </c>
      <c r="G16" s="7"/>
    </row>
    <row r="17" customFormat="false" ht="23.85" hidden="false" customHeight="false" outlineLevel="0" collapsed="false">
      <c r="A17" s="6" t="s">
        <v>630</v>
      </c>
      <c r="B17" s="6" t="s">
        <v>631</v>
      </c>
      <c r="C17" s="6" t="s">
        <v>579</v>
      </c>
      <c r="D17" s="6" t="s">
        <v>632</v>
      </c>
      <c r="E17" s="6" t="s">
        <v>633</v>
      </c>
      <c r="F17" s="6" t="s">
        <v>582</v>
      </c>
      <c r="G17" s="6"/>
    </row>
    <row r="18" customFormat="false" ht="23.85" hidden="false" customHeight="false" outlineLevel="0" collapsed="false">
      <c r="A18" s="7" t="s">
        <v>634</v>
      </c>
      <c r="B18" s="7" t="s">
        <v>635</v>
      </c>
      <c r="C18" s="7" t="s">
        <v>579</v>
      </c>
      <c r="D18" s="7" t="s">
        <v>636</v>
      </c>
      <c r="E18" s="7" t="s">
        <v>637</v>
      </c>
      <c r="F18" s="7" t="s">
        <v>605</v>
      </c>
      <c r="G18" s="7"/>
    </row>
    <row r="19" customFormat="false" ht="23.85" hidden="false" customHeight="false" outlineLevel="0" collapsed="false">
      <c r="A19" s="6" t="s">
        <v>638</v>
      </c>
      <c r="B19" s="6" t="s">
        <v>639</v>
      </c>
      <c r="C19" s="6" t="s">
        <v>579</v>
      </c>
      <c r="D19" s="6" t="s">
        <v>640</v>
      </c>
      <c r="E19" s="6" t="s">
        <v>641</v>
      </c>
      <c r="F19" s="6" t="s">
        <v>582</v>
      </c>
      <c r="G19" s="6"/>
    </row>
    <row r="20" customFormat="false" ht="15" hidden="false" customHeight="false" outlineLevel="0" collapsed="false">
      <c r="A20" s="7" t="s">
        <v>642</v>
      </c>
      <c r="B20" s="7" t="s">
        <v>643</v>
      </c>
      <c r="C20" s="7" t="s">
        <v>579</v>
      </c>
      <c r="D20" s="7" t="s">
        <v>644</v>
      </c>
      <c r="E20" s="7" t="s">
        <v>645</v>
      </c>
      <c r="F20" s="7" t="s">
        <v>605</v>
      </c>
      <c r="G20" s="7"/>
    </row>
    <row r="21" customFormat="false" ht="15" hidden="false" customHeight="false" outlineLevel="0" collapsed="false">
      <c r="A21" s="6" t="s">
        <v>646</v>
      </c>
      <c r="B21" s="6" t="s">
        <v>647</v>
      </c>
      <c r="C21" s="6" t="s">
        <v>579</v>
      </c>
      <c r="D21" s="6" t="s">
        <v>648</v>
      </c>
      <c r="E21" s="6" t="s">
        <v>649</v>
      </c>
      <c r="F21" s="6" t="s">
        <v>582</v>
      </c>
      <c r="G21" s="6"/>
    </row>
    <row r="22" customFormat="false" ht="23.85" hidden="false" customHeight="false" outlineLevel="0" collapsed="false">
      <c r="A22" s="7" t="s">
        <v>650</v>
      </c>
      <c r="B22" s="7" t="s">
        <v>651</v>
      </c>
      <c r="C22" s="7" t="s">
        <v>26</v>
      </c>
      <c r="D22" s="7" t="s">
        <v>652</v>
      </c>
      <c r="E22" s="7" t="s">
        <v>653</v>
      </c>
      <c r="F22" s="7" t="s">
        <v>582</v>
      </c>
      <c r="G22" s="7"/>
    </row>
    <row r="23" customFormat="false" ht="23.85" hidden="false" customHeight="false" outlineLevel="0" collapsed="false">
      <c r="A23" s="6" t="s">
        <v>654</v>
      </c>
      <c r="B23" s="6" t="s">
        <v>655</v>
      </c>
      <c r="C23" s="6" t="s">
        <v>579</v>
      </c>
      <c r="D23" s="6" t="s">
        <v>656</v>
      </c>
      <c r="E23" s="6" t="s">
        <v>657</v>
      </c>
      <c r="F23" s="6" t="s">
        <v>582</v>
      </c>
      <c r="G23" s="6"/>
    </row>
    <row r="24" customFormat="false" ht="15" hidden="false" customHeight="false" outlineLevel="0" collapsed="false">
      <c r="A24" s="7" t="s">
        <v>658</v>
      </c>
      <c r="B24" s="7" t="s">
        <v>659</v>
      </c>
      <c r="C24" s="7" t="s">
        <v>31</v>
      </c>
      <c r="D24" s="7" t="s">
        <v>660</v>
      </c>
      <c r="E24" s="7" t="s">
        <v>661</v>
      </c>
      <c r="F24" s="7" t="s">
        <v>582</v>
      </c>
      <c r="G24" s="7"/>
    </row>
    <row r="25" customFormat="false" ht="15" hidden="false" customHeight="false" outlineLevel="0" collapsed="false">
      <c r="A25" s="6" t="s">
        <v>662</v>
      </c>
      <c r="B25" s="6" t="s">
        <v>663</v>
      </c>
      <c r="C25" s="6" t="s">
        <v>31</v>
      </c>
      <c r="D25" s="6" t="s">
        <v>664</v>
      </c>
      <c r="E25" s="6" t="s">
        <v>665</v>
      </c>
      <c r="F25" s="6" t="s">
        <v>605</v>
      </c>
      <c r="G25" s="6"/>
    </row>
    <row r="26" customFormat="false" ht="15" hidden="false" customHeight="false" outlineLevel="0" collapsed="false">
      <c r="A26" s="7" t="s">
        <v>666</v>
      </c>
      <c r="B26" s="7" t="s">
        <v>667</v>
      </c>
      <c r="C26" s="7" t="s">
        <v>31</v>
      </c>
      <c r="D26" s="7" t="s">
        <v>668</v>
      </c>
      <c r="E26" s="7" t="s">
        <v>669</v>
      </c>
      <c r="F26" s="7" t="s">
        <v>582</v>
      </c>
      <c r="G26" s="7"/>
    </row>
    <row r="27" customFormat="false" ht="15" hidden="false" customHeight="false" outlineLevel="0" collapsed="false">
      <c r="A27" s="6" t="s">
        <v>670</v>
      </c>
      <c r="B27" s="6" t="s">
        <v>671</v>
      </c>
      <c r="C27" s="6" t="s">
        <v>31</v>
      </c>
      <c r="D27" s="6" t="s">
        <v>672</v>
      </c>
      <c r="E27" s="6" t="s">
        <v>673</v>
      </c>
      <c r="F27" s="6" t="s">
        <v>582</v>
      </c>
      <c r="G27" s="6"/>
    </row>
    <row r="28" customFormat="false" ht="23.85" hidden="false" customHeight="false" outlineLevel="0" collapsed="false">
      <c r="A28" s="7" t="s">
        <v>674</v>
      </c>
      <c r="B28" s="7" t="s">
        <v>675</v>
      </c>
      <c r="C28" s="7" t="s">
        <v>26</v>
      </c>
      <c r="D28" s="7" t="s">
        <v>676</v>
      </c>
      <c r="E28" s="7" t="s">
        <v>677</v>
      </c>
      <c r="F28" s="7" t="s">
        <v>605</v>
      </c>
      <c r="G28" s="7"/>
    </row>
    <row r="29" customFormat="false" ht="15" hidden="false" customHeight="false" outlineLevel="0" collapsed="false">
      <c r="A29" s="6" t="s">
        <v>678</v>
      </c>
      <c r="B29" s="6" t="s">
        <v>679</v>
      </c>
      <c r="C29" s="6" t="s">
        <v>26</v>
      </c>
      <c r="D29" s="6" t="s">
        <v>680</v>
      </c>
      <c r="E29" s="6" t="s">
        <v>681</v>
      </c>
      <c r="F29" s="6" t="s">
        <v>582</v>
      </c>
      <c r="G29" s="6"/>
    </row>
    <row r="30" customFormat="false" ht="23.85" hidden="false" customHeight="false" outlineLevel="0" collapsed="false">
      <c r="A30" s="7" t="s">
        <v>682</v>
      </c>
      <c r="B30" s="7" t="s">
        <v>683</v>
      </c>
      <c r="C30" s="7" t="s">
        <v>26</v>
      </c>
      <c r="D30" s="7" t="s">
        <v>684</v>
      </c>
      <c r="E30" s="7" t="s">
        <v>685</v>
      </c>
      <c r="F30" s="7" t="s">
        <v>582</v>
      </c>
      <c r="G30" s="7"/>
    </row>
    <row r="31" customFormat="false" ht="15" hidden="false" customHeight="false" outlineLevel="0" collapsed="false">
      <c r="A31" s="6" t="s">
        <v>686</v>
      </c>
      <c r="B31" s="6" t="s">
        <v>687</v>
      </c>
      <c r="C31" s="6" t="s">
        <v>579</v>
      </c>
      <c r="D31" s="6" t="s">
        <v>688</v>
      </c>
      <c r="E31" s="6" t="s">
        <v>689</v>
      </c>
      <c r="F31" s="6" t="s">
        <v>605</v>
      </c>
      <c r="G31" s="6"/>
    </row>
    <row r="32" customFormat="false" ht="15" hidden="false" customHeight="false" outlineLevel="0" collapsed="false">
      <c r="A32" s="7" t="s">
        <v>690</v>
      </c>
      <c r="B32" s="7" t="s">
        <v>691</v>
      </c>
      <c r="C32" s="7" t="s">
        <v>579</v>
      </c>
      <c r="D32" s="7" t="s">
        <v>692</v>
      </c>
      <c r="E32" s="7" t="s">
        <v>693</v>
      </c>
      <c r="F32" s="7" t="s">
        <v>582</v>
      </c>
      <c r="G32" s="7"/>
    </row>
    <row r="33" customFormat="false" ht="23.85" hidden="false" customHeight="false" outlineLevel="0" collapsed="false">
      <c r="A33" s="6" t="s">
        <v>694</v>
      </c>
      <c r="B33" s="6" t="s">
        <v>695</v>
      </c>
      <c r="C33" s="6" t="s">
        <v>579</v>
      </c>
      <c r="D33" s="6" t="s">
        <v>696</v>
      </c>
      <c r="E33" s="6" t="s">
        <v>697</v>
      </c>
      <c r="F33" s="6" t="s">
        <v>605</v>
      </c>
      <c r="G33" s="6"/>
    </row>
    <row r="34" customFormat="false" ht="15" hidden="false" customHeight="false" outlineLevel="0" collapsed="false">
      <c r="A34" s="7" t="s">
        <v>698</v>
      </c>
      <c r="B34" s="7" t="s">
        <v>699</v>
      </c>
      <c r="C34" s="7" t="s">
        <v>579</v>
      </c>
      <c r="D34" s="7" t="s">
        <v>700</v>
      </c>
      <c r="E34" s="7" t="s">
        <v>701</v>
      </c>
      <c r="F34" s="7" t="s">
        <v>605</v>
      </c>
      <c r="G34" s="7"/>
    </row>
    <row r="35" customFormat="false" ht="23.85" hidden="false" customHeight="false" outlineLevel="0" collapsed="false">
      <c r="A35" s="6" t="s">
        <v>702</v>
      </c>
      <c r="B35" s="6" t="s">
        <v>703</v>
      </c>
      <c r="C35" s="6" t="s">
        <v>579</v>
      </c>
      <c r="D35" s="6" t="s">
        <v>704</v>
      </c>
      <c r="E35" s="6" t="s">
        <v>705</v>
      </c>
      <c r="F35" s="6" t="s">
        <v>582</v>
      </c>
      <c r="G35" s="6"/>
    </row>
    <row r="36" customFormat="false" ht="15" hidden="false" customHeight="false" outlineLevel="0" collapsed="false">
      <c r="A36" s="7" t="s">
        <v>706</v>
      </c>
      <c r="B36" s="7" t="s">
        <v>707</v>
      </c>
      <c r="C36" s="7" t="s">
        <v>36</v>
      </c>
      <c r="D36" s="7" t="s">
        <v>708</v>
      </c>
      <c r="E36" s="7" t="s">
        <v>709</v>
      </c>
      <c r="F36" s="7" t="s">
        <v>605</v>
      </c>
      <c r="G36" s="7"/>
    </row>
    <row r="37" customFormat="false" ht="15" hidden="false" customHeight="false" outlineLevel="0" collapsed="false">
      <c r="A37" s="6" t="s">
        <v>710</v>
      </c>
      <c r="B37" s="6" t="s">
        <v>711</v>
      </c>
      <c r="C37" s="6" t="s">
        <v>579</v>
      </c>
      <c r="D37" s="6" t="s">
        <v>712</v>
      </c>
      <c r="E37" s="6" t="s">
        <v>713</v>
      </c>
      <c r="F37" s="6" t="s">
        <v>582</v>
      </c>
      <c r="G37" s="6"/>
    </row>
    <row r="38" customFormat="false" ht="15" hidden="false" customHeight="false" outlineLevel="0" collapsed="false">
      <c r="A38" s="7" t="s">
        <v>714</v>
      </c>
      <c r="B38" s="7" t="s">
        <v>715</v>
      </c>
      <c r="C38" s="7" t="s">
        <v>36</v>
      </c>
      <c r="D38" s="7" t="s">
        <v>716</v>
      </c>
      <c r="E38" s="7" t="s">
        <v>717</v>
      </c>
      <c r="F38" s="7" t="s">
        <v>605</v>
      </c>
      <c r="G38" s="7"/>
    </row>
    <row r="39" customFormat="false" ht="23.85" hidden="false" customHeight="false" outlineLevel="0" collapsed="false">
      <c r="A39" s="6" t="s">
        <v>718</v>
      </c>
      <c r="B39" s="6" t="s">
        <v>719</v>
      </c>
      <c r="C39" s="6" t="s">
        <v>579</v>
      </c>
      <c r="D39" s="6" t="s">
        <v>720</v>
      </c>
      <c r="E39" s="6" t="s">
        <v>721</v>
      </c>
      <c r="F39" s="6" t="s">
        <v>605</v>
      </c>
      <c r="G39" s="6"/>
    </row>
    <row r="40" customFormat="false" ht="15" hidden="false" customHeight="false" outlineLevel="0" collapsed="false">
      <c r="A40" s="7" t="s">
        <v>722</v>
      </c>
      <c r="B40" s="7" t="s">
        <v>723</v>
      </c>
      <c r="C40" s="7" t="s">
        <v>593</v>
      </c>
      <c r="D40" s="7" t="s">
        <v>724</v>
      </c>
      <c r="E40" s="7" t="s">
        <v>725</v>
      </c>
      <c r="F40" s="7" t="s">
        <v>582</v>
      </c>
      <c r="G40" s="7"/>
    </row>
    <row r="41" customFormat="false" ht="15" hidden="false" customHeight="false" outlineLevel="0" collapsed="false">
      <c r="A41" s="6" t="s">
        <v>726</v>
      </c>
      <c r="B41" s="6" t="s">
        <v>727</v>
      </c>
      <c r="C41" s="6" t="s">
        <v>598</v>
      </c>
      <c r="D41" s="6" t="s">
        <v>728</v>
      </c>
      <c r="E41" s="6" t="s">
        <v>729</v>
      </c>
      <c r="F41" s="6" t="s">
        <v>582</v>
      </c>
      <c r="G41" s="6"/>
    </row>
    <row r="42" customFormat="false" ht="23.85" hidden="false" customHeight="false" outlineLevel="0" collapsed="false">
      <c r="A42" s="7" t="s">
        <v>730</v>
      </c>
      <c r="B42" s="7" t="s">
        <v>731</v>
      </c>
      <c r="C42" s="7" t="s">
        <v>26</v>
      </c>
      <c r="D42" s="7" t="s">
        <v>732</v>
      </c>
      <c r="E42" s="7" t="s">
        <v>733</v>
      </c>
      <c r="F42" s="7" t="s">
        <v>605</v>
      </c>
      <c r="G42" s="7"/>
    </row>
    <row r="43" customFormat="false" ht="15" hidden="false" customHeight="false" outlineLevel="0" collapsed="false">
      <c r="A43" s="6" t="s">
        <v>734</v>
      </c>
      <c r="B43" s="6" t="s">
        <v>735</v>
      </c>
      <c r="C43" s="6" t="s">
        <v>579</v>
      </c>
      <c r="D43" s="6" t="s">
        <v>736</v>
      </c>
      <c r="E43" s="6" t="s">
        <v>737</v>
      </c>
      <c r="F43" s="6" t="s">
        <v>605</v>
      </c>
      <c r="G43" s="6"/>
    </row>
    <row r="44" customFormat="false" ht="15" hidden="false" customHeight="false" outlineLevel="0" collapsed="false">
      <c r="A44" s="7" t="s">
        <v>738</v>
      </c>
      <c r="B44" s="7" t="s">
        <v>739</v>
      </c>
      <c r="C44" s="7" t="s">
        <v>26</v>
      </c>
      <c r="D44" s="7" t="s">
        <v>740</v>
      </c>
      <c r="E44" s="7" t="s">
        <v>741</v>
      </c>
      <c r="F44" s="7" t="s">
        <v>605</v>
      </c>
      <c r="G44" s="7"/>
    </row>
    <row r="45" customFormat="false" ht="23.85" hidden="false" customHeight="false" outlineLevel="0" collapsed="false">
      <c r="A45" s="6" t="s">
        <v>742</v>
      </c>
      <c r="B45" s="6" t="s">
        <v>743</v>
      </c>
      <c r="C45" s="6" t="s">
        <v>593</v>
      </c>
      <c r="D45" s="6" t="s">
        <v>744</v>
      </c>
      <c r="E45" s="6" t="s">
        <v>745</v>
      </c>
      <c r="F45" s="6" t="s">
        <v>582</v>
      </c>
      <c r="G45" s="6"/>
    </row>
    <row r="46" customFormat="false" ht="23.85" hidden="false" customHeight="false" outlineLevel="0" collapsed="false">
      <c r="A46" s="7" t="s">
        <v>746</v>
      </c>
      <c r="B46" s="7" t="s">
        <v>747</v>
      </c>
      <c r="C46" s="7" t="s">
        <v>26</v>
      </c>
      <c r="D46" s="7" t="s">
        <v>748</v>
      </c>
      <c r="E46" s="7" t="s">
        <v>749</v>
      </c>
      <c r="F46" s="7" t="s">
        <v>605</v>
      </c>
      <c r="G46" s="7"/>
    </row>
    <row r="47" customFormat="false" ht="15" hidden="false" customHeight="false" outlineLevel="0" collapsed="false">
      <c r="A47" s="6" t="s">
        <v>750</v>
      </c>
      <c r="B47" s="6" t="s">
        <v>751</v>
      </c>
      <c r="C47" s="6" t="s">
        <v>26</v>
      </c>
      <c r="D47" s="6" t="s">
        <v>752</v>
      </c>
      <c r="E47" s="6" t="s">
        <v>753</v>
      </c>
      <c r="F47" s="6" t="s">
        <v>605</v>
      </c>
      <c r="G47" s="6"/>
    </row>
    <row r="48" customFormat="false" ht="15" hidden="false" customHeight="false" outlineLevel="0" collapsed="false">
      <c r="A48" s="7" t="s">
        <v>754</v>
      </c>
      <c r="B48" s="7" t="s">
        <v>755</v>
      </c>
      <c r="C48" s="7" t="s">
        <v>579</v>
      </c>
      <c r="D48" s="7" t="s">
        <v>756</v>
      </c>
      <c r="E48" s="7" t="s">
        <v>757</v>
      </c>
      <c r="F48" s="7" t="s">
        <v>582</v>
      </c>
      <c r="G48" s="7"/>
    </row>
    <row r="49" customFormat="false" ht="15" hidden="false" customHeight="false" outlineLevel="0" collapsed="false">
      <c r="A49" s="6" t="s">
        <v>758</v>
      </c>
      <c r="B49" s="6" t="s">
        <v>759</v>
      </c>
      <c r="C49" s="6" t="s">
        <v>579</v>
      </c>
      <c r="D49" s="6" t="s">
        <v>760</v>
      </c>
      <c r="E49" s="6" t="s">
        <v>761</v>
      </c>
      <c r="F49" s="6" t="s">
        <v>605</v>
      </c>
      <c r="G49" s="6"/>
    </row>
    <row r="50" customFormat="false" ht="23.85" hidden="false" customHeight="false" outlineLevel="0" collapsed="false">
      <c r="A50" s="7" t="s">
        <v>762</v>
      </c>
      <c r="B50" s="7" t="s">
        <v>763</v>
      </c>
      <c r="C50" s="7" t="s">
        <v>26</v>
      </c>
      <c r="D50" s="7" t="s">
        <v>764</v>
      </c>
      <c r="E50" s="7" t="s">
        <v>765</v>
      </c>
      <c r="F50" s="7" t="s">
        <v>605</v>
      </c>
      <c r="G50" s="7"/>
    </row>
    <row r="51" customFormat="false" ht="15" hidden="false" customHeight="false" outlineLevel="0" collapsed="false">
      <c r="A51" s="6" t="s">
        <v>766</v>
      </c>
      <c r="B51" s="6" t="s">
        <v>767</v>
      </c>
      <c r="C51" s="6" t="s">
        <v>768</v>
      </c>
      <c r="D51" s="6" t="s">
        <v>769</v>
      </c>
      <c r="E51" s="6" t="s">
        <v>770</v>
      </c>
      <c r="F51" s="6" t="s">
        <v>771</v>
      </c>
      <c r="G51" s="6"/>
    </row>
    <row r="52" customFormat="false" ht="15" hidden="false" customHeight="false" outlineLevel="0" collapsed="false">
      <c r="A52" s="7" t="s">
        <v>772</v>
      </c>
      <c r="B52" s="7" t="s">
        <v>773</v>
      </c>
      <c r="C52" s="7" t="s">
        <v>593</v>
      </c>
      <c r="D52" s="7" t="s">
        <v>774</v>
      </c>
      <c r="E52" s="7" t="s">
        <v>775</v>
      </c>
      <c r="F52" s="7" t="s">
        <v>771</v>
      </c>
      <c r="G52" s="7"/>
    </row>
    <row r="53" customFormat="false" ht="15" hidden="false" customHeight="false" outlineLevel="0" collapsed="false">
      <c r="A53" s="6" t="s">
        <v>776</v>
      </c>
      <c r="B53" s="6" t="s">
        <v>777</v>
      </c>
      <c r="C53" s="6" t="s">
        <v>41</v>
      </c>
      <c r="D53" s="6" t="s">
        <v>778</v>
      </c>
      <c r="E53" s="6" t="s">
        <v>779</v>
      </c>
      <c r="F53" s="6" t="s">
        <v>582</v>
      </c>
      <c r="G53" s="6"/>
    </row>
    <row r="54" customFormat="false" ht="15" hidden="false" customHeight="false" outlineLevel="0" collapsed="false">
      <c r="A54" s="7" t="s">
        <v>780</v>
      </c>
      <c r="B54" s="7" t="s">
        <v>781</v>
      </c>
      <c r="C54" s="7" t="s">
        <v>20</v>
      </c>
      <c r="D54" s="7" t="s">
        <v>782</v>
      </c>
      <c r="E54" s="7" t="s">
        <v>783</v>
      </c>
      <c r="F54" s="7" t="s">
        <v>605</v>
      </c>
      <c r="G54" s="7"/>
    </row>
    <row r="55" customFormat="false" ht="35.05" hidden="false" customHeight="false" outlineLevel="0" collapsed="false">
      <c r="A55" s="6" t="s">
        <v>784</v>
      </c>
      <c r="B55" s="6" t="s">
        <v>785</v>
      </c>
      <c r="C55" s="6" t="s">
        <v>26</v>
      </c>
      <c r="D55" s="6" t="s">
        <v>786</v>
      </c>
      <c r="E55" s="6" t="s">
        <v>787</v>
      </c>
      <c r="F55" s="6" t="s">
        <v>582</v>
      </c>
      <c r="G55" s="6"/>
    </row>
    <row r="56" customFormat="false" ht="23.85" hidden="false" customHeight="false" outlineLevel="0" collapsed="false">
      <c r="A56" s="7" t="s">
        <v>788</v>
      </c>
      <c r="B56" s="7" t="s">
        <v>789</v>
      </c>
      <c r="C56" s="7" t="s">
        <v>26</v>
      </c>
      <c r="D56" s="7" t="s">
        <v>790</v>
      </c>
      <c r="E56" s="7" t="s">
        <v>791</v>
      </c>
      <c r="F56" s="7" t="s">
        <v>605</v>
      </c>
      <c r="G56" s="7"/>
    </row>
    <row r="57" customFormat="false" ht="35.05" hidden="false" customHeight="false" outlineLevel="0" collapsed="false">
      <c r="A57" s="6" t="s">
        <v>792</v>
      </c>
      <c r="B57" s="6" t="s">
        <v>793</v>
      </c>
      <c r="C57" s="6" t="s">
        <v>26</v>
      </c>
      <c r="D57" s="6" t="s">
        <v>794</v>
      </c>
      <c r="E57" s="6" t="s">
        <v>795</v>
      </c>
      <c r="F57" s="6" t="s">
        <v>582</v>
      </c>
      <c r="G57" s="6"/>
    </row>
    <row r="58" customFormat="false" ht="23.85" hidden="false" customHeight="false" outlineLevel="0" collapsed="false">
      <c r="A58" s="7" t="s">
        <v>796</v>
      </c>
      <c r="B58" s="7" t="s">
        <v>797</v>
      </c>
      <c r="C58" s="7" t="s">
        <v>49</v>
      </c>
      <c r="D58" s="7" t="s">
        <v>798</v>
      </c>
      <c r="E58" s="7" t="s">
        <v>799</v>
      </c>
      <c r="F58" s="7" t="s">
        <v>582</v>
      </c>
      <c r="G58" s="7"/>
    </row>
    <row r="59" customFormat="false" ht="23.85" hidden="false" customHeight="false" outlineLevel="0" collapsed="false">
      <c r="A59" s="6" t="s">
        <v>800</v>
      </c>
      <c r="B59" s="6" t="s">
        <v>801</v>
      </c>
      <c r="C59" s="6" t="s">
        <v>60</v>
      </c>
      <c r="D59" s="6" t="s">
        <v>802</v>
      </c>
      <c r="E59" s="6" t="s">
        <v>803</v>
      </c>
      <c r="F59" s="6" t="s">
        <v>582</v>
      </c>
      <c r="G59" s="6"/>
    </row>
    <row r="60" customFormat="false" ht="23.85" hidden="false" customHeight="false" outlineLevel="0" collapsed="false">
      <c r="A60" s="7" t="s">
        <v>804</v>
      </c>
      <c r="B60" s="7" t="s">
        <v>805</v>
      </c>
      <c r="C60" s="7" t="s">
        <v>806</v>
      </c>
      <c r="D60" s="7" t="s">
        <v>807</v>
      </c>
      <c r="E60" s="7" t="s">
        <v>808</v>
      </c>
      <c r="F60" s="7" t="s">
        <v>605</v>
      </c>
      <c r="G60" s="7"/>
    </row>
    <row r="61" customFormat="false" ht="15" hidden="false" customHeight="false" outlineLevel="0" collapsed="false">
      <c r="A61" s="6" t="s">
        <v>809</v>
      </c>
      <c r="B61" s="6" t="s">
        <v>810</v>
      </c>
      <c r="C61" s="6" t="s">
        <v>806</v>
      </c>
      <c r="D61" s="6" t="s">
        <v>811</v>
      </c>
      <c r="E61" s="6" t="s">
        <v>812</v>
      </c>
      <c r="F61" s="6" t="s">
        <v>605</v>
      </c>
      <c r="G61" s="6"/>
    </row>
    <row r="62" customFormat="false" ht="23.85" hidden="false" customHeight="false" outlineLevel="0" collapsed="false">
      <c r="A62" s="7" t="s">
        <v>813</v>
      </c>
      <c r="B62" s="7" t="s">
        <v>814</v>
      </c>
      <c r="C62" s="7" t="s">
        <v>31</v>
      </c>
      <c r="D62" s="7" t="s">
        <v>815</v>
      </c>
      <c r="E62" s="7" t="s">
        <v>816</v>
      </c>
      <c r="F62" s="7" t="s">
        <v>582</v>
      </c>
      <c r="G62" s="7"/>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34"/>
    <col collapsed="false" customWidth="true" hidden="false" outlineLevel="0" max="5" min="2" style="0" width="14"/>
  </cols>
  <sheetData>
    <row r="1" customFormat="false" ht="15" hidden="false" customHeight="false" outlineLevel="0" collapsed="false">
      <c r="A1" s="1" t="s">
        <v>817</v>
      </c>
    </row>
    <row r="2" customFormat="false" ht="19.7" hidden="false" customHeight="false" outlineLevel="0" collapsed="false">
      <c r="A2" s="2" t="s">
        <v>818</v>
      </c>
    </row>
    <row r="4" customFormat="false" ht="21.75" hidden="false" customHeight="true" outlineLevel="0" collapsed="false">
      <c r="A4" s="5" t="s">
        <v>819</v>
      </c>
      <c r="B4" s="5" t="s">
        <v>820</v>
      </c>
      <c r="C4" s="5" t="s">
        <v>821</v>
      </c>
      <c r="D4" s="5" t="s">
        <v>822</v>
      </c>
      <c r="E4" s="5" t="s">
        <v>823</v>
      </c>
    </row>
    <row r="5" customFormat="false" ht="15" hidden="false" customHeight="false" outlineLevel="0" collapsed="false">
      <c r="A5" s="13" t="s">
        <v>824</v>
      </c>
      <c r="B5" s="13" t="n">
        <f aca="false">COUNTIFS('Test Scenarios'!B:B,A5&amp;"*",'Test Scenarios'!F:F,"P1")</f>
        <v>0</v>
      </c>
      <c r="C5" s="13" t="n">
        <f aca="false">COUNTIFS('Test Scenarios'!B:B,A5&amp;"*",'Test Scenarios'!F:F,"P2")</f>
        <v>1</v>
      </c>
      <c r="D5" s="13" t="n">
        <f aca="false">COUNTIFS('Test Scenarios'!B:B,A5&amp;"*",'Test Scenarios'!F:F,"P3")</f>
        <v>0</v>
      </c>
      <c r="E5" s="13" t="n">
        <f aca="false">SUM(B5:D5)</f>
        <v>1</v>
      </c>
    </row>
    <row r="6" customFormat="false" ht="15" hidden="false" customHeight="false" outlineLevel="0" collapsed="false">
      <c r="A6" s="13" t="s">
        <v>825</v>
      </c>
      <c r="B6" s="13" t="n">
        <f aca="false">COUNTIFS('Test Scenarios'!B:B,A6&amp;"*",'Test Scenarios'!F:F,"P1")</f>
        <v>1</v>
      </c>
      <c r="C6" s="13" t="n">
        <f aca="false">COUNTIFS('Test Scenarios'!B:B,A6&amp;"*",'Test Scenarios'!F:F,"P2")</f>
        <v>1</v>
      </c>
      <c r="D6" s="13" t="n">
        <f aca="false">COUNTIFS('Test Scenarios'!B:B,A6&amp;"*",'Test Scenarios'!F:F,"P3")</f>
        <v>0</v>
      </c>
      <c r="E6" s="13" t="n">
        <f aca="false">SUM(B6:D6)</f>
        <v>2</v>
      </c>
    </row>
    <row r="7" customFormat="false" ht="15" hidden="false" customHeight="false" outlineLevel="0" collapsed="false">
      <c r="A7" s="13" t="s">
        <v>10</v>
      </c>
      <c r="B7" s="13" t="n">
        <f aca="false">COUNTIFS('Test Scenarios'!B:B,A7&amp;"*",'Test Scenarios'!F:F,"P1")</f>
        <v>3</v>
      </c>
      <c r="C7" s="13" t="n">
        <f aca="false">COUNTIFS('Test Scenarios'!B:B,A7&amp;"*",'Test Scenarios'!F:F,"P2")</f>
        <v>0</v>
      </c>
      <c r="D7" s="13" t="n">
        <f aca="false">COUNTIFS('Test Scenarios'!B:B,A7&amp;"*",'Test Scenarios'!F:F,"P3")</f>
        <v>0</v>
      </c>
      <c r="E7" s="13" t="n">
        <f aca="false">SUM(B7:D7)</f>
        <v>3</v>
      </c>
    </row>
    <row r="8" customFormat="false" ht="15" hidden="false" customHeight="false" outlineLevel="0" collapsed="false">
      <c r="A8" s="13" t="s">
        <v>826</v>
      </c>
      <c r="B8" s="13" t="n">
        <f aca="false">COUNTIFS('Test Scenarios'!B:B,A8&amp;"*",'Test Scenarios'!F:F,"P1")</f>
        <v>2</v>
      </c>
      <c r="C8" s="13" t="n">
        <f aca="false">COUNTIFS('Test Scenarios'!B:B,A8&amp;"*",'Test Scenarios'!F:F,"P2")</f>
        <v>0</v>
      </c>
      <c r="D8" s="13" t="n">
        <f aca="false">COUNTIFS('Test Scenarios'!B:B,A8&amp;"*",'Test Scenarios'!F:F,"P3")</f>
        <v>0</v>
      </c>
      <c r="E8" s="13" t="n">
        <f aca="false">SUM(B8:D8)</f>
        <v>2</v>
      </c>
    </row>
    <row r="9" customFormat="false" ht="15" hidden="false" customHeight="false" outlineLevel="0" collapsed="false">
      <c r="A9" s="13" t="s">
        <v>135</v>
      </c>
      <c r="B9" s="13" t="n">
        <f aca="false">COUNTIFS('Test Scenarios'!B:B,A9&amp;"*",'Test Scenarios'!F:F,"P1")</f>
        <v>3</v>
      </c>
      <c r="C9" s="13" t="n">
        <f aca="false">COUNTIFS('Test Scenarios'!B:B,A9&amp;"*",'Test Scenarios'!F:F,"P2")</f>
        <v>1</v>
      </c>
      <c r="D9" s="13" t="n">
        <f aca="false">COUNTIFS('Test Scenarios'!B:B,A9&amp;"*",'Test Scenarios'!F:F,"P3")</f>
        <v>0</v>
      </c>
      <c r="E9" s="13" t="n">
        <f aca="false">SUM(B9:D9)</f>
        <v>4</v>
      </c>
    </row>
    <row r="10" customFormat="false" ht="15" hidden="false" customHeight="false" outlineLevel="0" collapsed="false">
      <c r="A10" s="13" t="s">
        <v>827</v>
      </c>
      <c r="B10" s="13" t="n">
        <f aca="false">COUNTIFS('Test Scenarios'!B:B,A10&amp;"*",'Test Scenarios'!F:F,"P1")</f>
        <v>5</v>
      </c>
      <c r="C10" s="13" t="n">
        <f aca="false">COUNTIFS('Test Scenarios'!B:B,A10&amp;"*",'Test Scenarios'!F:F,"P2")</f>
        <v>3</v>
      </c>
      <c r="D10" s="13" t="n">
        <f aca="false">COUNTIFS('Test Scenarios'!B:B,A10&amp;"*",'Test Scenarios'!F:F,"P3")</f>
        <v>0</v>
      </c>
      <c r="E10" s="13" t="n">
        <f aca="false">SUM(B10:D10)</f>
        <v>8</v>
      </c>
    </row>
    <row r="11" customFormat="false" ht="15" hidden="false" customHeight="false" outlineLevel="0" collapsed="false">
      <c r="A11" s="13" t="s">
        <v>828</v>
      </c>
      <c r="B11" s="13" t="n">
        <f aca="false">COUNTIFS('Test Scenarios'!B:B,A11&amp;"*",'Test Scenarios'!F:F,"P1")</f>
        <v>3</v>
      </c>
      <c r="C11" s="13" t="n">
        <f aca="false">COUNTIFS('Test Scenarios'!B:B,A11&amp;"*",'Test Scenarios'!F:F,"P2")</f>
        <v>0</v>
      </c>
      <c r="D11" s="13" t="n">
        <f aca="false">COUNTIFS('Test Scenarios'!B:B,A11&amp;"*",'Test Scenarios'!F:F,"P3")</f>
        <v>0</v>
      </c>
      <c r="E11" s="13" t="n">
        <f aca="false">SUM(B11:D11)</f>
        <v>3</v>
      </c>
    </row>
    <row r="12" customFormat="false" ht="15" hidden="false" customHeight="false" outlineLevel="0" collapsed="false">
      <c r="A12" s="13" t="s">
        <v>829</v>
      </c>
      <c r="B12" s="13" t="n">
        <f aca="false">COUNTIFS('Test Scenarios'!B:B,A12&amp;"*",'Test Scenarios'!F:F,"P1")</f>
        <v>2</v>
      </c>
      <c r="C12" s="13" t="n">
        <f aca="false">COUNTIFS('Test Scenarios'!B:B,A12&amp;"*",'Test Scenarios'!F:F,"P2")</f>
        <v>0</v>
      </c>
      <c r="D12" s="13" t="n">
        <f aca="false">COUNTIFS('Test Scenarios'!B:B,A12&amp;"*",'Test Scenarios'!F:F,"P3")</f>
        <v>0</v>
      </c>
      <c r="E12" s="13" t="n">
        <f aca="false">SUM(B12:D12)</f>
        <v>2</v>
      </c>
    </row>
    <row r="13" customFormat="false" ht="15" hidden="false" customHeight="false" outlineLevel="0" collapsed="false">
      <c r="A13" s="13" t="s">
        <v>830</v>
      </c>
      <c r="B13" s="13" t="n">
        <f aca="false">COUNTIFS('Test Scenarios'!B:B,A13&amp;"*",'Test Scenarios'!F:F,"P1")</f>
        <v>1</v>
      </c>
      <c r="C13" s="13" t="n">
        <f aca="false">COUNTIFS('Test Scenarios'!B:B,A13&amp;"*",'Test Scenarios'!F:F,"P2")</f>
        <v>1</v>
      </c>
      <c r="D13" s="13" t="n">
        <f aca="false">COUNTIFS('Test Scenarios'!B:B,A13&amp;"*",'Test Scenarios'!F:F,"P3")</f>
        <v>0</v>
      </c>
      <c r="E13" s="13" t="n">
        <f aca="false">SUM(B13:D13)</f>
        <v>2</v>
      </c>
    </row>
    <row r="14" customFormat="false" ht="15" hidden="false" customHeight="false" outlineLevel="0" collapsed="false">
      <c r="A14" s="13" t="s">
        <v>831</v>
      </c>
      <c r="B14" s="13" t="n">
        <f aca="false">COUNTIFS('Test Scenarios'!B:B,A14&amp;"*",'Test Scenarios'!F:F,"P1")</f>
        <v>0</v>
      </c>
      <c r="C14" s="13" t="n">
        <f aca="false">COUNTIFS('Test Scenarios'!B:B,A14&amp;"*",'Test Scenarios'!F:F,"P2")</f>
        <v>0</v>
      </c>
      <c r="D14" s="13" t="n">
        <f aca="false">COUNTIFS('Test Scenarios'!B:B,A14&amp;"*",'Test Scenarios'!F:F,"P3")</f>
        <v>1</v>
      </c>
      <c r="E14" s="13" t="n">
        <f aca="false">SUM(B14:D14)</f>
        <v>1</v>
      </c>
    </row>
    <row r="15" customFormat="false" ht="15" hidden="false" customHeight="false" outlineLevel="0" collapsed="false">
      <c r="A15" s="13" t="s">
        <v>832</v>
      </c>
      <c r="B15" s="13" t="n">
        <f aca="false">COUNTIFS('Test Scenarios'!B:B,A15&amp;"*",'Test Scenarios'!F:F,"P1")</f>
        <v>1</v>
      </c>
      <c r="C15" s="13" t="n">
        <f aca="false">COUNTIFS('Test Scenarios'!B:B,A15&amp;"*",'Test Scenarios'!F:F,"P2")</f>
        <v>2</v>
      </c>
      <c r="D15" s="13" t="n">
        <f aca="false">COUNTIFS('Test Scenarios'!B:B,A15&amp;"*",'Test Scenarios'!F:F,"P3")</f>
        <v>0</v>
      </c>
      <c r="E15" s="13" t="n">
        <f aca="false">SUM(B15:D15)</f>
        <v>3</v>
      </c>
    </row>
    <row r="16" customFormat="false" ht="15" hidden="false" customHeight="false" outlineLevel="0" collapsed="false">
      <c r="A16" s="13" t="s">
        <v>833</v>
      </c>
      <c r="B16" s="13" t="n">
        <f aca="false">COUNTIFS('Test Scenarios'!B:B,A16&amp;"*",'Test Scenarios'!F:F,"P1")</f>
        <v>2</v>
      </c>
      <c r="C16" s="13" t="n">
        <f aca="false">COUNTIFS('Test Scenarios'!B:B,A16&amp;"*",'Test Scenarios'!F:F,"P2")</f>
        <v>2</v>
      </c>
      <c r="D16" s="13" t="n">
        <f aca="false">COUNTIFS('Test Scenarios'!B:B,A16&amp;"*",'Test Scenarios'!F:F,"P3")</f>
        <v>0</v>
      </c>
      <c r="E16" s="13" t="n">
        <f aca="false">SUM(B16:D16)</f>
        <v>4</v>
      </c>
    </row>
    <row r="17" customFormat="false" ht="15" hidden="false" customHeight="false" outlineLevel="0" collapsed="false">
      <c r="A17" s="13" t="s">
        <v>834</v>
      </c>
      <c r="B17" s="13" t="n">
        <f aca="false">COUNTIFS('Test Scenarios'!B:B,A17&amp;"*",'Test Scenarios'!F:F,"P1")</f>
        <v>4</v>
      </c>
      <c r="C17" s="13" t="n">
        <f aca="false">COUNTIFS('Test Scenarios'!B:B,A17&amp;"*",'Test Scenarios'!F:F,"P2")</f>
        <v>4</v>
      </c>
      <c r="D17" s="13" t="n">
        <f aca="false">COUNTIFS('Test Scenarios'!B:B,A17&amp;"*",'Test Scenarios'!F:F,"P3")</f>
        <v>0</v>
      </c>
      <c r="E17" s="13" t="n">
        <f aca="false">SUM(B17:D17)</f>
        <v>8</v>
      </c>
    </row>
    <row r="18" customFormat="false" ht="15" hidden="false" customHeight="false" outlineLevel="0" collapsed="false">
      <c r="A18" s="13" t="s">
        <v>835</v>
      </c>
      <c r="B18" s="13" t="n">
        <f aca="false">COUNTIFS('Test Scenarios'!B:B,A18&amp;"*",'Test Scenarios'!F:F,"P1")</f>
        <v>2</v>
      </c>
      <c r="C18" s="13" t="n">
        <f aca="false">COUNTIFS('Test Scenarios'!B:B,A18&amp;"*",'Test Scenarios'!F:F,"P2")</f>
        <v>1</v>
      </c>
      <c r="D18" s="13" t="n">
        <f aca="false">COUNTIFS('Test Scenarios'!B:B,A18&amp;"*",'Test Scenarios'!F:F,"P3")</f>
        <v>0</v>
      </c>
      <c r="E18" s="13" t="n">
        <f aca="false">SUM(B18:D18)</f>
        <v>3</v>
      </c>
    </row>
    <row r="19" customFormat="false" ht="15" hidden="false" customHeight="false" outlineLevel="0" collapsed="false">
      <c r="A19" s="13" t="s">
        <v>836</v>
      </c>
      <c r="B19" s="13" t="n">
        <f aca="false">COUNTIFS('Test Scenarios'!B:B,A19&amp;"*",'Test Scenarios'!F:F,"P1")</f>
        <v>1</v>
      </c>
      <c r="C19" s="13" t="n">
        <f aca="false">COUNTIFS('Test Scenarios'!B:B,A19&amp;"*",'Test Scenarios'!F:F,"P2")</f>
        <v>0</v>
      </c>
      <c r="D19" s="13" t="n">
        <f aca="false">COUNTIFS('Test Scenarios'!B:B,A19&amp;"*",'Test Scenarios'!F:F,"P3")</f>
        <v>0</v>
      </c>
      <c r="E19" s="13" t="n">
        <f aca="false">SUM(B19:D19)</f>
        <v>1</v>
      </c>
    </row>
    <row r="20" customFormat="false" ht="15" hidden="false" customHeight="false" outlineLevel="0" collapsed="false">
      <c r="A20" s="13" t="s">
        <v>837</v>
      </c>
      <c r="B20" s="13" t="n">
        <f aca="false">COUNTIFS('Test Scenarios'!B:B,A20&amp;"*",'Test Scenarios'!F:F,"P1")</f>
        <v>1</v>
      </c>
      <c r="C20" s="13" t="n">
        <f aca="false">COUNTIFS('Test Scenarios'!B:B,A20&amp;"*",'Test Scenarios'!F:F,"P2")</f>
        <v>1</v>
      </c>
      <c r="D20" s="13" t="n">
        <f aca="false">COUNTIFS('Test Scenarios'!B:B,A20&amp;"*",'Test Scenarios'!F:F,"P3")</f>
        <v>0</v>
      </c>
      <c r="E20" s="13" t="n">
        <f aca="false">SUM(B20:D20)</f>
        <v>2</v>
      </c>
    </row>
    <row r="21" customFormat="false" ht="15" hidden="false" customHeight="false" outlineLevel="0" collapsed="false">
      <c r="A21" s="13" t="s">
        <v>838</v>
      </c>
      <c r="B21" s="13" t="n">
        <f aca="false">COUNTIFS('Test Scenarios'!B:B,A21&amp;"*",'Test Scenarios'!F:F,"P1")</f>
        <v>1</v>
      </c>
      <c r="C21" s="13" t="n">
        <f aca="false">COUNTIFS('Test Scenarios'!B:B,A21&amp;"*",'Test Scenarios'!F:F,"P2")</f>
        <v>2</v>
      </c>
      <c r="D21" s="13" t="n">
        <f aca="false">COUNTIFS('Test Scenarios'!B:B,A21&amp;"*",'Test Scenarios'!F:F,"P3")</f>
        <v>0</v>
      </c>
      <c r="E21" s="13" t="n">
        <f aca="false">SUM(B21:D21)</f>
        <v>3</v>
      </c>
    </row>
    <row r="22" customFormat="false" ht="15" hidden="false" customHeight="false" outlineLevel="0" collapsed="false">
      <c r="A22" s="13" t="s">
        <v>839</v>
      </c>
      <c r="B22" s="13" t="n">
        <f aca="false">COUNTIFS('Test Scenarios'!B:B,A22&amp;"*",'Test Scenarios'!F:F,"P1")</f>
        <v>1</v>
      </c>
      <c r="C22" s="13" t="n">
        <f aca="false">COUNTIFS('Test Scenarios'!B:B,A22&amp;"*",'Test Scenarios'!F:F,"P2")</f>
        <v>0</v>
      </c>
      <c r="D22" s="13" t="n">
        <f aca="false">COUNTIFS('Test Scenarios'!B:B,A22&amp;"*",'Test Scenarios'!F:F,"P3")</f>
        <v>0</v>
      </c>
      <c r="E22" s="13" t="n">
        <f aca="false">SUM(B22:D22)</f>
        <v>1</v>
      </c>
    </row>
    <row r="23" customFormat="false" ht="15" hidden="false" customHeight="false" outlineLevel="0" collapsed="false">
      <c r="A23" s="13" t="s">
        <v>840</v>
      </c>
      <c r="B23" s="13" t="n">
        <f aca="false">COUNTIFS('Test Scenarios'!B:B,A23&amp;"*",'Test Scenarios'!F:F,"P1")</f>
        <v>1</v>
      </c>
      <c r="C23" s="13" t="n">
        <f aca="false">COUNTIFS('Test Scenarios'!B:B,A23&amp;"*",'Test Scenarios'!F:F,"P2")</f>
        <v>1</v>
      </c>
      <c r="D23" s="13" t="n">
        <f aca="false">COUNTIFS('Test Scenarios'!B:B,A23&amp;"*",'Test Scenarios'!F:F,"P3")</f>
        <v>0</v>
      </c>
      <c r="E23" s="13" t="n">
        <f aca="false">SUM(B23:D23)</f>
        <v>2</v>
      </c>
    </row>
    <row r="24" customFormat="false" ht="15" hidden="false" customHeight="false" outlineLevel="0" collapsed="false">
      <c r="A24" s="13" t="s">
        <v>841</v>
      </c>
      <c r="B24" s="13" t="n">
        <f aca="false">COUNTIFS('Test Scenarios'!B:B,A24&amp;"*",'Test Scenarios'!F:F,"P1")</f>
        <v>1</v>
      </c>
      <c r="C24" s="13" t="n">
        <f aca="false">COUNTIFS('Test Scenarios'!B:B,A24&amp;"*",'Test Scenarios'!F:F,"P2")</f>
        <v>0</v>
      </c>
      <c r="D24" s="13" t="n">
        <f aca="false">COUNTIFS('Test Scenarios'!B:B,A24&amp;"*",'Test Scenarios'!F:F,"P3")</f>
        <v>0</v>
      </c>
      <c r="E24" s="13" t="n">
        <f aca="false">SUM(B24:D24)</f>
        <v>1</v>
      </c>
    </row>
    <row r="25" customFormat="false" ht="15" hidden="false" customHeight="false" outlineLevel="0" collapsed="false">
      <c r="A25" s="13" t="s">
        <v>842</v>
      </c>
      <c r="B25" s="13" t="n">
        <f aca="false">COUNTIFS('Test Scenarios'!B:B,A25&amp;"*",'Test Scenarios'!F:F,"P1")</f>
        <v>0</v>
      </c>
      <c r="C25" s="13" t="n">
        <f aca="false">COUNTIFS('Test Scenarios'!B:B,A25&amp;"*",'Test Scenarios'!F:F,"P2")</f>
        <v>1</v>
      </c>
      <c r="D25" s="13" t="n">
        <f aca="false">COUNTIFS('Test Scenarios'!B:B,A25&amp;"*",'Test Scenarios'!F:F,"P3")</f>
        <v>0</v>
      </c>
      <c r="E25" s="13" t="n">
        <f aca="false">SUM(B25:D25)</f>
        <v>1</v>
      </c>
    </row>
    <row r="26" customFormat="false" ht="15" hidden="false" customHeight="false" outlineLevel="0" collapsed="false">
      <c r="A26" s="13" t="s">
        <v>843</v>
      </c>
      <c r="B26" s="13" t="n">
        <f aca="false">COUNTIFS('Test Scenarios'!B:B,A26&amp;"*",'Test Scenarios'!F:F,"P1")</f>
        <v>0</v>
      </c>
      <c r="C26" s="13" t="n">
        <f aca="false">COUNTIFS('Test Scenarios'!B:B,A26&amp;"*",'Test Scenarios'!F:F,"P2")</f>
        <v>1</v>
      </c>
      <c r="D26" s="13" t="n">
        <f aca="false">COUNTIFS('Test Scenarios'!B:B,A26&amp;"*",'Test Scenarios'!F:F,"P3")</f>
        <v>1</v>
      </c>
      <c r="E26" s="13" t="n">
        <f aca="false">SUM(B26:D26)</f>
        <v>2</v>
      </c>
    </row>
    <row r="27" customFormat="false" ht="15" hidden="false" customHeight="false" outlineLevel="0" collapsed="false">
      <c r="A27" s="13" t="s">
        <v>844</v>
      </c>
      <c r="B27" s="13" t="n">
        <f aca="false">COUNTIFS('Test Scenarios'!B:B,A27&amp;"*",'Test Scenarios'!F:F,"P1")</f>
        <v>0</v>
      </c>
      <c r="C27" s="13" t="n">
        <f aca="false">COUNTIFS('Test Scenarios'!B:B,A27&amp;"*",'Test Scenarios'!F:F,"P2")</f>
        <v>3</v>
      </c>
      <c r="D27" s="13" t="n">
        <f aca="false">COUNTIFS('Test Scenarios'!B:B,A27&amp;"*",'Test Scenarios'!F:F,"P3")</f>
        <v>0</v>
      </c>
      <c r="E27" s="13" t="n">
        <f aca="false">SUM(B27:D27)</f>
        <v>3</v>
      </c>
    </row>
    <row r="28" customFormat="false" ht="15" hidden="false" customHeight="false" outlineLevel="0" collapsed="false">
      <c r="A28" s="13" t="s">
        <v>845</v>
      </c>
      <c r="B28" s="13" t="n">
        <f aca="false">COUNTIFS('Test Scenarios'!B:B,A28&amp;"*",'Test Scenarios'!F:F,"P1")</f>
        <v>0</v>
      </c>
      <c r="C28" s="13" t="n">
        <f aca="false">COUNTIFS('Test Scenarios'!B:B,A28&amp;"*",'Test Scenarios'!F:F,"P2")</f>
        <v>1</v>
      </c>
      <c r="D28" s="13" t="n">
        <f aca="false">COUNTIFS('Test Scenarios'!B:B,A28&amp;"*",'Test Scenarios'!F:F,"P3")</f>
        <v>0</v>
      </c>
      <c r="E28" s="13" t="n">
        <f aca="false">SUM(B28:D28)</f>
        <v>1</v>
      </c>
    </row>
    <row r="29" customFormat="false" ht="15" hidden="false" customHeight="false" outlineLevel="0" collapsed="false">
      <c r="A29" s="13" t="s">
        <v>846</v>
      </c>
      <c r="B29" s="13" t="n">
        <f aca="false">COUNTIFS('Test Scenarios'!B:B,A29&amp;"*",'Test Scenarios'!F:F,"P1")</f>
        <v>1</v>
      </c>
      <c r="C29" s="13" t="n">
        <f aca="false">COUNTIFS('Test Scenarios'!B:B,A29&amp;"*",'Test Scenarios'!F:F,"P2")</f>
        <v>2</v>
      </c>
      <c r="D29" s="13" t="n">
        <f aca="false">COUNTIFS('Test Scenarios'!B:B,A29&amp;"*",'Test Scenarios'!F:F,"P3")</f>
        <v>0</v>
      </c>
      <c r="E29" s="13" t="n">
        <f aca="false">SUM(B29:D29)</f>
        <v>3</v>
      </c>
    </row>
    <row r="30" customFormat="false" ht="15" hidden="false" customHeight="false" outlineLevel="0" collapsed="false">
      <c r="A30" s="13" t="s">
        <v>847</v>
      </c>
      <c r="B30" s="13" t="n">
        <f aca="false">COUNTIFS('Test Scenarios'!B:B,A30&amp;"*",'Test Scenarios'!F:F,"P1")</f>
        <v>1</v>
      </c>
      <c r="C30" s="13" t="n">
        <f aca="false">COUNTIFS('Test Scenarios'!B:B,A30&amp;"*",'Test Scenarios'!F:F,"P2")</f>
        <v>0</v>
      </c>
      <c r="D30" s="13" t="n">
        <f aca="false">COUNTIFS('Test Scenarios'!B:B,A30&amp;"*",'Test Scenarios'!F:F,"P3")</f>
        <v>0</v>
      </c>
      <c r="E30" s="13" t="n">
        <f aca="false">SUM(B30:D30)</f>
        <v>1</v>
      </c>
    </row>
    <row r="32" customFormat="false" ht="15" hidden="false" customHeight="false" outlineLevel="0" collapsed="false">
      <c r="A32" s="3" t="s">
        <v>848</v>
      </c>
      <c r="B32" s="3" t="n">
        <f aca="false">SUM(B5:B30)</f>
        <v>37</v>
      </c>
      <c r="C32" s="3" t="n">
        <f aca="false">SUM(C5:C30)</f>
        <v>28</v>
      </c>
      <c r="D32" s="3" t="n">
        <f aca="false">SUM(D5:D30)</f>
        <v>2</v>
      </c>
      <c r="E32" s="3" t="n">
        <f aca="false">SUM(E5:E30)</f>
        <v>67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42"/>
    <col collapsed="false" customWidth="true" hidden="false" outlineLevel="0" max="2" min="2" style="0" width="30"/>
    <col collapsed="false" customWidth="true" hidden="false" outlineLevel="0" max="3" min="3" style="0" width="32"/>
    <col collapsed="false" customWidth="true" hidden="false" outlineLevel="0" max="4" min="4" style="0" width="38"/>
    <col collapsed="false" customWidth="true" hidden="false" outlineLevel="0" max="5" min="5" style="0" width="56"/>
  </cols>
  <sheetData>
    <row r="1" customFormat="false" ht="15" hidden="false" customHeight="false" outlineLevel="0" collapsed="false">
      <c r="A1" s="1" t="s">
        <v>849</v>
      </c>
    </row>
    <row r="2" customFormat="false" ht="19.7" hidden="false" customHeight="false" outlineLevel="0" collapsed="false">
      <c r="A2" s="2" t="s">
        <v>850</v>
      </c>
    </row>
    <row r="4" customFormat="false" ht="21.75" hidden="false" customHeight="true" outlineLevel="0" collapsed="false">
      <c r="A4" s="5" t="s">
        <v>851</v>
      </c>
      <c r="B4" s="5" t="s">
        <v>2</v>
      </c>
      <c r="C4" s="5" t="s">
        <v>852</v>
      </c>
      <c r="D4" s="5" t="s">
        <v>853</v>
      </c>
      <c r="E4" s="5" t="s">
        <v>854</v>
      </c>
    </row>
    <row r="5" customFormat="false" ht="15" hidden="false" customHeight="false" outlineLevel="0" collapsed="false">
      <c r="A5" s="6" t="s">
        <v>855</v>
      </c>
      <c r="B5" s="6" t="s">
        <v>856</v>
      </c>
      <c r="C5" s="6" t="s">
        <v>857</v>
      </c>
      <c r="D5" s="6" t="s">
        <v>858</v>
      </c>
      <c r="E5" s="6" t="s">
        <v>859</v>
      </c>
    </row>
    <row r="6" customFormat="false" ht="15" hidden="false" customHeight="false" outlineLevel="0" collapsed="false">
      <c r="A6" s="7" t="s">
        <v>860</v>
      </c>
      <c r="B6" s="7" t="s">
        <v>861</v>
      </c>
      <c r="C6" s="7" t="s">
        <v>862</v>
      </c>
      <c r="D6" s="7" t="s">
        <v>863</v>
      </c>
      <c r="E6" s="7" t="s">
        <v>864</v>
      </c>
    </row>
    <row r="7" customFormat="false" ht="15" hidden="false" customHeight="false" outlineLevel="0" collapsed="false">
      <c r="A7" s="6" t="s">
        <v>865</v>
      </c>
      <c r="B7" s="6" t="s">
        <v>866</v>
      </c>
      <c r="C7" s="6" t="s">
        <v>867</v>
      </c>
      <c r="D7" s="6" t="s">
        <v>868</v>
      </c>
      <c r="E7" s="6" t="s">
        <v>869</v>
      </c>
    </row>
    <row r="8" customFormat="false" ht="15" hidden="false" customHeight="false" outlineLevel="0" collapsed="false">
      <c r="A8" s="7" t="s">
        <v>870</v>
      </c>
      <c r="B8" s="7" t="s">
        <v>871</v>
      </c>
      <c r="C8" s="7" t="s">
        <v>872</v>
      </c>
      <c r="D8" s="7" t="s">
        <v>868</v>
      </c>
      <c r="E8" s="7" t="s">
        <v>873</v>
      </c>
    </row>
    <row r="9" customFormat="false" ht="15" hidden="false" customHeight="false" outlineLevel="0" collapsed="false">
      <c r="A9" s="6" t="s">
        <v>874</v>
      </c>
      <c r="B9" s="6" t="s">
        <v>875</v>
      </c>
      <c r="C9" s="6" t="s">
        <v>876</v>
      </c>
      <c r="D9" s="6" t="s">
        <v>868</v>
      </c>
      <c r="E9" s="6" t="s">
        <v>877</v>
      </c>
    </row>
    <row r="11" customFormat="false" ht="15" hidden="false" customHeight="false" outlineLevel="0" collapsed="false">
      <c r="A11" s="3" t="s">
        <v>878</v>
      </c>
    </row>
    <row r="12" customFormat="false" ht="60" hidden="false" customHeight="true" outlineLevel="0" collapsed="false">
      <c r="A12" s="4" t="s">
        <v>879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0"/>
    <col collapsed="false" customWidth="true" hidden="false" outlineLevel="0" max="2" min="2" style="0" width="56"/>
    <col collapsed="false" customWidth="true" hidden="false" outlineLevel="0" max="3" min="3" style="0" width="8"/>
    <col collapsed="false" customWidth="true" hidden="false" outlineLevel="0" max="4" min="4" style="0" width="60"/>
    <col collapsed="false" customWidth="true" hidden="false" outlineLevel="0" max="5" min="5" style="0" width="38"/>
  </cols>
  <sheetData>
    <row r="1" customFormat="false" ht="15" hidden="false" customHeight="false" outlineLevel="0" collapsed="false">
      <c r="A1" s="1" t="s">
        <v>880</v>
      </c>
    </row>
    <row r="2" customFormat="false" ht="19.7" hidden="false" customHeight="false" outlineLevel="0" collapsed="false">
      <c r="A2" s="2" t="s">
        <v>881</v>
      </c>
    </row>
    <row r="4" customFormat="false" ht="21.75" hidden="false" customHeight="true" outlineLevel="0" collapsed="false">
      <c r="A4" s="5" t="s">
        <v>882</v>
      </c>
      <c r="B4" s="5" t="s">
        <v>883</v>
      </c>
      <c r="C4" s="5" t="s">
        <v>10</v>
      </c>
      <c r="D4" s="5" t="s">
        <v>884</v>
      </c>
      <c r="E4" s="5" t="s">
        <v>885</v>
      </c>
    </row>
    <row r="5" customFormat="false" ht="15" hidden="false" customHeight="false" outlineLevel="0" collapsed="false">
      <c r="A5" s="6" t="s">
        <v>886</v>
      </c>
      <c r="B5" s="6" t="s">
        <v>887</v>
      </c>
      <c r="C5" s="6" t="s">
        <v>888</v>
      </c>
      <c r="D5" s="6" t="s">
        <v>889</v>
      </c>
      <c r="E5" s="6" t="s">
        <v>890</v>
      </c>
    </row>
    <row r="6" customFormat="false" ht="15" hidden="false" customHeight="false" outlineLevel="0" collapsed="false">
      <c r="A6" s="7" t="s">
        <v>891</v>
      </c>
      <c r="B6" s="7" t="s">
        <v>892</v>
      </c>
      <c r="C6" s="7" t="s">
        <v>893</v>
      </c>
      <c r="D6" s="7" t="s">
        <v>894</v>
      </c>
      <c r="E6" s="7"/>
    </row>
    <row r="7" customFormat="false" ht="15" hidden="false" customHeight="false" outlineLevel="0" collapsed="false">
      <c r="A7" s="6" t="s">
        <v>891</v>
      </c>
      <c r="B7" s="6" t="s">
        <v>895</v>
      </c>
      <c r="C7" s="6" t="s">
        <v>888</v>
      </c>
      <c r="D7" s="6" t="s">
        <v>896</v>
      </c>
      <c r="E7" s="6"/>
    </row>
    <row r="8" customFormat="false" ht="15" hidden="false" customHeight="false" outlineLevel="0" collapsed="false">
      <c r="A8" s="7" t="s">
        <v>891</v>
      </c>
      <c r="B8" s="7" t="s">
        <v>897</v>
      </c>
      <c r="C8" s="7" t="s">
        <v>893</v>
      </c>
      <c r="D8" s="7" t="s">
        <v>898</v>
      </c>
      <c r="E8" s="7"/>
    </row>
    <row r="9" customFormat="false" ht="15" hidden="false" customHeight="false" outlineLevel="0" collapsed="false">
      <c r="A9" s="6" t="s">
        <v>891</v>
      </c>
      <c r="B9" s="6" t="s">
        <v>899</v>
      </c>
      <c r="C9" s="6" t="s">
        <v>893</v>
      </c>
      <c r="D9" s="6" t="s">
        <v>900</v>
      </c>
      <c r="E9" s="6"/>
    </row>
    <row r="10" customFormat="false" ht="15" hidden="false" customHeight="false" outlineLevel="0" collapsed="false">
      <c r="A10" s="7" t="s">
        <v>891</v>
      </c>
      <c r="B10" s="7" t="s">
        <v>901</v>
      </c>
      <c r="C10" s="7" t="s">
        <v>893</v>
      </c>
      <c r="D10" s="7" t="s">
        <v>902</v>
      </c>
      <c r="E10" s="7"/>
    </row>
    <row r="11" customFormat="false" ht="15" hidden="false" customHeight="false" outlineLevel="0" collapsed="false">
      <c r="A11" s="6" t="s">
        <v>891</v>
      </c>
      <c r="B11" s="6" t="s">
        <v>903</v>
      </c>
      <c r="C11" s="6" t="s">
        <v>893</v>
      </c>
      <c r="D11" s="6" t="s">
        <v>904</v>
      </c>
      <c r="E11" s="6"/>
    </row>
    <row r="12" customFormat="false" ht="15" hidden="false" customHeight="false" outlineLevel="0" collapsed="false">
      <c r="A12" s="7" t="s">
        <v>891</v>
      </c>
      <c r="B12" s="7" t="s">
        <v>905</v>
      </c>
      <c r="C12" s="7" t="s">
        <v>893</v>
      </c>
      <c r="D12" s="7" t="s">
        <v>837</v>
      </c>
      <c r="E12" s="7"/>
    </row>
    <row r="13" customFormat="false" ht="15" hidden="false" customHeight="false" outlineLevel="0" collapsed="false">
      <c r="A13" s="6" t="s">
        <v>891</v>
      </c>
      <c r="B13" s="6" t="s">
        <v>906</v>
      </c>
      <c r="C13" s="6" t="s">
        <v>893</v>
      </c>
      <c r="D13" s="6" t="s">
        <v>907</v>
      </c>
      <c r="E13" s="6"/>
    </row>
    <row r="14" customFormat="false" ht="15" hidden="false" customHeight="false" outlineLevel="0" collapsed="false">
      <c r="A14" s="7" t="s">
        <v>891</v>
      </c>
      <c r="B14" s="7" t="s">
        <v>908</v>
      </c>
      <c r="C14" s="7" t="s">
        <v>893</v>
      </c>
      <c r="D14" s="7" t="s">
        <v>909</v>
      </c>
      <c r="E14" s="7"/>
    </row>
    <row r="15" customFormat="false" ht="15" hidden="false" customHeight="false" outlineLevel="0" collapsed="false">
      <c r="A15" s="6" t="s">
        <v>886</v>
      </c>
      <c r="B15" s="6" t="s">
        <v>910</v>
      </c>
      <c r="C15" s="6" t="s">
        <v>893</v>
      </c>
      <c r="D15" s="6" t="s">
        <v>911</v>
      </c>
      <c r="E15" s="6"/>
    </row>
    <row r="16" customFormat="false" ht="15" hidden="false" customHeight="false" outlineLevel="0" collapsed="false">
      <c r="A16" s="7" t="s">
        <v>891</v>
      </c>
      <c r="B16" s="7" t="s">
        <v>912</v>
      </c>
      <c r="C16" s="7" t="s">
        <v>893</v>
      </c>
      <c r="D16" s="7" t="s">
        <v>913</v>
      </c>
      <c r="E16" s="7"/>
    </row>
    <row r="17" customFormat="false" ht="15" hidden="false" customHeight="false" outlineLevel="0" collapsed="false">
      <c r="A17" s="6" t="s">
        <v>886</v>
      </c>
      <c r="B17" s="6" t="s">
        <v>914</v>
      </c>
      <c r="C17" s="6" t="s">
        <v>893</v>
      </c>
      <c r="D17" s="6" t="s">
        <v>915</v>
      </c>
      <c r="E17" s="6"/>
    </row>
    <row r="18" customFormat="false" ht="15" hidden="false" customHeight="false" outlineLevel="0" collapsed="false">
      <c r="A18" s="7" t="s">
        <v>886</v>
      </c>
      <c r="B18" s="7" t="s">
        <v>916</v>
      </c>
      <c r="C18" s="7" t="s">
        <v>893</v>
      </c>
      <c r="D18" s="7" t="s">
        <v>917</v>
      </c>
      <c r="E18" s="7"/>
    </row>
    <row r="19" customFormat="false" ht="15" hidden="false" customHeight="false" outlineLevel="0" collapsed="false">
      <c r="A19" s="6" t="s">
        <v>891</v>
      </c>
      <c r="B19" s="6" t="s">
        <v>918</v>
      </c>
      <c r="C19" s="6" t="s">
        <v>893</v>
      </c>
      <c r="D19" s="6" t="s">
        <v>919</v>
      </c>
      <c r="E19" s="6"/>
    </row>
    <row r="20" customFormat="false" ht="15" hidden="false" customHeight="false" outlineLevel="0" collapsed="false">
      <c r="A20" s="7" t="s">
        <v>886</v>
      </c>
      <c r="B20" s="7" t="s">
        <v>918</v>
      </c>
      <c r="C20" s="7" t="s">
        <v>893</v>
      </c>
      <c r="D20" s="7" t="s">
        <v>920</v>
      </c>
      <c r="E20" s="7" t="s">
        <v>921</v>
      </c>
    </row>
    <row r="21" customFormat="false" ht="15" hidden="false" customHeight="false" outlineLevel="0" collapsed="false">
      <c r="A21" s="6" t="s">
        <v>891</v>
      </c>
      <c r="B21" s="6" t="s">
        <v>922</v>
      </c>
      <c r="C21" s="6" t="s">
        <v>893</v>
      </c>
      <c r="D21" s="6" t="s">
        <v>923</v>
      </c>
      <c r="E21" s="6"/>
    </row>
    <row r="22" customFormat="false" ht="15" hidden="false" customHeight="false" outlineLevel="0" collapsed="false">
      <c r="A22" s="7" t="s">
        <v>891</v>
      </c>
      <c r="B22" s="7" t="s">
        <v>924</v>
      </c>
      <c r="C22" s="7" t="s">
        <v>893</v>
      </c>
      <c r="D22" s="7" t="s">
        <v>925</v>
      </c>
      <c r="E22" s="7"/>
    </row>
    <row r="23" customFormat="false" ht="15" hidden="false" customHeight="false" outlineLevel="0" collapsed="false">
      <c r="A23" s="6" t="s">
        <v>886</v>
      </c>
      <c r="B23" s="6" t="s">
        <v>926</v>
      </c>
      <c r="C23" s="6" t="s">
        <v>893</v>
      </c>
      <c r="D23" s="6" t="s">
        <v>927</v>
      </c>
      <c r="E23" s="6"/>
    </row>
    <row r="24" customFormat="false" ht="15" hidden="false" customHeight="false" outlineLevel="0" collapsed="false">
      <c r="A24" s="7" t="s">
        <v>891</v>
      </c>
      <c r="B24" s="7" t="s">
        <v>928</v>
      </c>
      <c r="C24" s="7" t="s">
        <v>893</v>
      </c>
      <c r="D24" s="7" t="s">
        <v>929</v>
      </c>
      <c r="E24" s="7"/>
    </row>
    <row r="25" customFormat="false" ht="15" hidden="false" customHeight="false" outlineLevel="0" collapsed="false">
      <c r="A25" s="6" t="s">
        <v>886</v>
      </c>
      <c r="B25" s="6" t="s">
        <v>928</v>
      </c>
      <c r="C25" s="6" t="s">
        <v>893</v>
      </c>
      <c r="D25" s="6" t="s">
        <v>930</v>
      </c>
      <c r="E25" s="6" t="s">
        <v>931</v>
      </c>
    </row>
    <row r="26" customFormat="false" ht="15" hidden="false" customHeight="false" outlineLevel="0" collapsed="false">
      <c r="A26" s="7" t="s">
        <v>891</v>
      </c>
      <c r="B26" s="7" t="s">
        <v>932</v>
      </c>
      <c r="C26" s="7" t="s">
        <v>893</v>
      </c>
      <c r="D26" s="7" t="s">
        <v>933</v>
      </c>
      <c r="E26" s="7"/>
    </row>
    <row r="27" customFormat="false" ht="15" hidden="false" customHeight="false" outlineLevel="0" collapsed="false">
      <c r="A27" s="6" t="s">
        <v>886</v>
      </c>
      <c r="B27" s="6" t="s">
        <v>932</v>
      </c>
      <c r="C27" s="6" t="s">
        <v>893</v>
      </c>
      <c r="D27" s="6" t="s">
        <v>934</v>
      </c>
      <c r="E27" s="6" t="s">
        <v>935</v>
      </c>
    </row>
    <row r="28" customFormat="false" ht="15" hidden="false" customHeight="false" outlineLevel="0" collapsed="false">
      <c r="A28" s="7" t="s">
        <v>891</v>
      </c>
      <c r="B28" s="7" t="s">
        <v>936</v>
      </c>
      <c r="C28" s="7" t="s">
        <v>893</v>
      </c>
      <c r="D28" s="7" t="s">
        <v>937</v>
      </c>
      <c r="E28" s="7"/>
    </row>
    <row r="29" customFormat="false" ht="15" hidden="false" customHeight="false" outlineLevel="0" collapsed="false">
      <c r="A29" s="6" t="s">
        <v>886</v>
      </c>
      <c r="B29" s="6" t="s">
        <v>938</v>
      </c>
      <c r="C29" s="6" t="s">
        <v>893</v>
      </c>
      <c r="D29" s="6" t="s">
        <v>939</v>
      </c>
      <c r="E29" s="6" t="s">
        <v>940</v>
      </c>
    </row>
    <row r="30" customFormat="false" ht="15" hidden="false" customHeight="false" outlineLevel="0" collapsed="false">
      <c r="A30" s="7" t="s">
        <v>891</v>
      </c>
      <c r="B30" s="7" t="s">
        <v>941</v>
      </c>
      <c r="C30" s="7" t="s">
        <v>893</v>
      </c>
      <c r="D30" s="7" t="s">
        <v>942</v>
      </c>
      <c r="E30" s="7"/>
    </row>
    <row r="31" customFormat="false" ht="15" hidden="false" customHeight="false" outlineLevel="0" collapsed="false">
      <c r="A31" s="6" t="s">
        <v>891</v>
      </c>
      <c r="B31" s="6" t="s">
        <v>943</v>
      </c>
      <c r="C31" s="6" t="s">
        <v>893</v>
      </c>
      <c r="D31" s="6" t="s">
        <v>944</v>
      </c>
      <c r="E31" s="6"/>
    </row>
    <row r="32" customFormat="false" ht="15" hidden="false" customHeight="false" outlineLevel="0" collapsed="false">
      <c r="A32" s="7" t="s">
        <v>886</v>
      </c>
      <c r="B32" s="7" t="s">
        <v>945</v>
      </c>
      <c r="C32" s="7" t="s">
        <v>893</v>
      </c>
      <c r="D32" s="7" t="s">
        <v>946</v>
      </c>
      <c r="E32" s="7"/>
    </row>
    <row r="33" customFormat="false" ht="15" hidden="false" customHeight="false" outlineLevel="0" collapsed="false">
      <c r="A33" s="6" t="s">
        <v>891</v>
      </c>
      <c r="B33" s="6" t="s">
        <v>947</v>
      </c>
      <c r="C33" s="6" t="s">
        <v>893</v>
      </c>
      <c r="D33" s="6" t="s">
        <v>948</v>
      </c>
      <c r="E33" s="6"/>
    </row>
    <row r="34" customFormat="false" ht="15" hidden="false" customHeight="false" outlineLevel="0" collapsed="false">
      <c r="A34" s="7" t="s">
        <v>891</v>
      </c>
      <c r="B34" s="7" t="s">
        <v>949</v>
      </c>
      <c r="C34" s="7" t="s">
        <v>893</v>
      </c>
      <c r="D34" s="7" t="s">
        <v>950</v>
      </c>
      <c r="E34" s="7"/>
    </row>
    <row r="35" customFormat="false" ht="15" hidden="false" customHeight="false" outlineLevel="0" collapsed="false">
      <c r="A35" s="6" t="s">
        <v>891</v>
      </c>
      <c r="B35" s="6" t="s">
        <v>951</v>
      </c>
      <c r="C35" s="6" t="s">
        <v>893</v>
      </c>
      <c r="D35" s="6" t="s">
        <v>952</v>
      </c>
      <c r="E35" s="6"/>
    </row>
    <row r="36" customFormat="false" ht="15" hidden="false" customHeight="false" outlineLevel="0" collapsed="false">
      <c r="A36" s="7" t="s">
        <v>891</v>
      </c>
      <c r="B36" s="7" t="s">
        <v>953</v>
      </c>
      <c r="C36" s="7" t="s">
        <v>893</v>
      </c>
      <c r="D36" s="7" t="s">
        <v>954</v>
      </c>
      <c r="E36" s="7"/>
    </row>
    <row r="37" customFormat="false" ht="15" hidden="false" customHeight="false" outlineLevel="0" collapsed="false">
      <c r="A37" s="6" t="s">
        <v>891</v>
      </c>
      <c r="B37" s="6" t="s">
        <v>955</v>
      </c>
      <c r="C37" s="6" t="s">
        <v>893</v>
      </c>
      <c r="D37" s="6" t="s">
        <v>956</v>
      </c>
      <c r="E37" s="6"/>
    </row>
    <row r="38" customFormat="false" ht="15" hidden="false" customHeight="false" outlineLevel="0" collapsed="false">
      <c r="A38" s="7" t="s">
        <v>886</v>
      </c>
      <c r="B38" s="7" t="s">
        <v>957</v>
      </c>
      <c r="C38" s="7" t="s">
        <v>893</v>
      </c>
      <c r="D38" s="7" t="s">
        <v>958</v>
      </c>
      <c r="E38" s="7"/>
    </row>
    <row r="39" customFormat="false" ht="15" hidden="false" customHeight="false" outlineLevel="0" collapsed="false">
      <c r="A39" s="6" t="s">
        <v>891</v>
      </c>
      <c r="B39" s="6" t="s">
        <v>959</v>
      </c>
      <c r="C39" s="6" t="s">
        <v>893</v>
      </c>
      <c r="D39" s="6" t="s">
        <v>960</v>
      </c>
      <c r="E39" s="6"/>
    </row>
    <row r="40" customFormat="false" ht="15" hidden="false" customHeight="false" outlineLevel="0" collapsed="false">
      <c r="A40" s="7" t="s">
        <v>886</v>
      </c>
      <c r="B40" s="7" t="s">
        <v>961</v>
      </c>
      <c r="C40" s="7" t="s">
        <v>893</v>
      </c>
      <c r="D40" s="7" t="s">
        <v>962</v>
      </c>
      <c r="E40" s="7"/>
    </row>
    <row r="41" customFormat="false" ht="15" hidden="false" customHeight="false" outlineLevel="0" collapsed="false">
      <c r="A41" s="6" t="s">
        <v>891</v>
      </c>
      <c r="B41" s="6" t="s">
        <v>963</v>
      </c>
      <c r="C41" s="6" t="s">
        <v>893</v>
      </c>
      <c r="D41" s="6" t="s">
        <v>964</v>
      </c>
      <c r="E41" s="6"/>
    </row>
    <row r="42" customFormat="false" ht="15" hidden="false" customHeight="false" outlineLevel="0" collapsed="false">
      <c r="A42" s="7" t="s">
        <v>886</v>
      </c>
      <c r="B42" s="7" t="s">
        <v>965</v>
      </c>
      <c r="C42" s="7" t="s">
        <v>893</v>
      </c>
      <c r="D42" s="7" t="s">
        <v>966</v>
      </c>
      <c r="E42" s="7"/>
    </row>
    <row r="43" customFormat="false" ht="15" hidden="false" customHeight="false" outlineLevel="0" collapsed="false">
      <c r="A43" s="6" t="s">
        <v>891</v>
      </c>
      <c r="B43" s="6" t="s">
        <v>967</v>
      </c>
      <c r="C43" s="6" t="s">
        <v>893</v>
      </c>
      <c r="D43" s="6" t="s">
        <v>968</v>
      </c>
      <c r="E43" s="6"/>
    </row>
    <row r="44" customFormat="false" ht="15" hidden="false" customHeight="false" outlineLevel="0" collapsed="false">
      <c r="A44" s="7" t="s">
        <v>886</v>
      </c>
      <c r="B44" s="7" t="s">
        <v>969</v>
      </c>
      <c r="C44" s="7" t="s">
        <v>893</v>
      </c>
      <c r="D44" s="7" t="s">
        <v>970</v>
      </c>
      <c r="E44" s="7" t="s">
        <v>971</v>
      </c>
    </row>
    <row r="45" customFormat="false" ht="15" hidden="false" customHeight="false" outlineLevel="0" collapsed="false">
      <c r="A45" s="6" t="s">
        <v>886</v>
      </c>
      <c r="B45" s="6" t="s">
        <v>972</v>
      </c>
      <c r="C45" s="6" t="s">
        <v>893</v>
      </c>
      <c r="D45" s="6" t="s">
        <v>973</v>
      </c>
      <c r="E45" s="6"/>
    </row>
    <row r="46" customFormat="false" ht="15" hidden="false" customHeight="false" outlineLevel="0" collapsed="false">
      <c r="A46" s="7" t="s">
        <v>886</v>
      </c>
      <c r="B46" s="7" t="s">
        <v>974</v>
      </c>
      <c r="C46" s="7" t="s">
        <v>893</v>
      </c>
      <c r="D46" s="7" t="s">
        <v>975</v>
      </c>
      <c r="E46" s="7"/>
    </row>
    <row r="47" customFormat="false" ht="15" hidden="false" customHeight="false" outlineLevel="0" collapsed="false">
      <c r="A47" s="6" t="s">
        <v>891</v>
      </c>
      <c r="B47" s="6" t="s">
        <v>976</v>
      </c>
      <c r="C47" s="6" t="s">
        <v>893</v>
      </c>
      <c r="D47" s="6" t="s">
        <v>977</v>
      </c>
      <c r="E47" s="6"/>
    </row>
    <row r="48" customFormat="false" ht="15" hidden="false" customHeight="false" outlineLevel="0" collapsed="false">
      <c r="A48" s="7" t="s">
        <v>891</v>
      </c>
      <c r="B48" s="7" t="s">
        <v>978</v>
      </c>
      <c r="C48" s="7" t="s">
        <v>893</v>
      </c>
      <c r="D48" s="7" t="s">
        <v>979</v>
      </c>
      <c r="E48" s="7"/>
    </row>
    <row r="49" customFormat="false" ht="15" hidden="false" customHeight="false" outlineLevel="0" collapsed="false">
      <c r="A49" s="6" t="s">
        <v>891</v>
      </c>
      <c r="B49" s="6" t="s">
        <v>980</v>
      </c>
      <c r="C49" s="6" t="s">
        <v>888</v>
      </c>
      <c r="D49" s="6" t="s">
        <v>981</v>
      </c>
      <c r="E49" s="6"/>
    </row>
    <row r="50" customFormat="false" ht="15" hidden="false" customHeight="false" outlineLevel="0" collapsed="false">
      <c r="A50" s="7" t="s">
        <v>891</v>
      </c>
      <c r="B50" s="7" t="s">
        <v>982</v>
      </c>
      <c r="C50" s="7" t="s">
        <v>888</v>
      </c>
      <c r="D50" s="7" t="s">
        <v>983</v>
      </c>
      <c r="E50" s="7"/>
    </row>
    <row r="51" customFormat="false" ht="15" hidden="false" customHeight="false" outlineLevel="0" collapsed="false">
      <c r="A51" s="6" t="s">
        <v>886</v>
      </c>
      <c r="B51" s="6" t="s">
        <v>984</v>
      </c>
      <c r="C51" s="6" t="s">
        <v>893</v>
      </c>
      <c r="D51" s="6" t="s">
        <v>985</v>
      </c>
      <c r="E51" s="6"/>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LibreOffice/26.2.2.2$MacOSX_AARCH64 LibreOffice_project/1f77d10d6938fd34972958f64b2bcfa54f8b1ba5</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2026-05-31T08:18:49Z</dcterms:created>
  <dc:creator>openpyxl</dc:creator>
  <dc:description/>
  <dc:language>en-IN</dc:language>
  <cp:lastModifiedBy/>
  <dcterms:modified xsi:type="dcterms:W3CDTF">2026-05-31T08:18:49Z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